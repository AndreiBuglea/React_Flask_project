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1">
      <go:sheetsCustomData xmlns:go="http://customooxmlschemas.google.com/" r:id="rId5" roundtripDataSignature="AMtx7mggvP8BTxqP7qn8gUT4/GMxJFt0dw=="/>
    </ext>
  </extLst>
</workbook>
</file>

<file path=xl/sharedStrings.xml><?xml version="1.0" encoding="utf-8"?>
<sst xmlns="http://schemas.openxmlformats.org/spreadsheetml/2006/main" count="111" uniqueCount="85">
  <si>
    <t>PROIECTE DAIP - AFLATE ÎN IMPLEMENTARE ÎN PERIOADA 2020 - 2022</t>
  </si>
  <si>
    <t>Nr. Crt.</t>
  </si>
  <si>
    <t>Denumire Proiect</t>
  </si>
  <si>
    <t>Id proiect</t>
  </si>
  <si>
    <t>Buget</t>
  </si>
  <si>
    <t xml:space="preserve">Proiecte CJT - Consiliul Județean Timiș </t>
  </si>
  <si>
    <t>Valori culturale prin educație artistică vizuală</t>
  </si>
  <si>
    <t>Cntr CJT_Nr.17848 din 03.08.21</t>
  </si>
  <si>
    <t xml:space="preserve">Educatia Azi in Timișoara Culturii Europene, ed. a VII-a </t>
  </si>
  <si>
    <t>Cntr CJT_Nr.17849 din 03.08.21</t>
  </si>
  <si>
    <t xml:space="preserve">Total proiecte CJT - Consiliul Județean Timiș </t>
  </si>
  <si>
    <t>Granturi Ro-Se - Interreg Romania-Serbia</t>
  </si>
  <si>
    <t>e-Support services for career and vocational counseling of youth entering to the labor market</t>
  </si>
  <si>
    <t>RORS 406</t>
  </si>
  <si>
    <t>TOTAL Granturi Ro-Se - Interreg Romania-Serbia</t>
  </si>
  <si>
    <t>Proiecte extracurriculare</t>
  </si>
  <si>
    <t>Concursul de informatica Stefan Maruster, editia I 2021</t>
  </si>
  <si>
    <t>Extracurriculare</t>
  </si>
  <si>
    <t>Școala Națională de Leadership pentru Elevi</t>
  </si>
  <si>
    <t>Școala Națională de Leadership pentru Studenți</t>
  </si>
  <si>
    <t>Abecedarul carierei-concurs idei de afaceri</t>
  </si>
  <si>
    <t>StudentFest 2021,sectiunea foto-video-concurs fotografie si videografie</t>
  </si>
  <si>
    <t>West Summer University</t>
  </si>
  <si>
    <t>StudentFest 2021, sectiunea Teatru-concurs improvozație</t>
  </si>
  <si>
    <t>StudentFest 2021, sectiunea Muzica-concurs TRUPE</t>
  </si>
  <si>
    <t>Campionatul Universitar National de Ciclism si Campionatul national de Triatlon (CNUC&amp;T)– Competitie sportiva studenteasca</t>
  </si>
  <si>
    <t>ITFest 2021</t>
  </si>
  <si>
    <t>Cupa UNISPORTVEST - competiție sportivă studențească, Universitatea de Vest din Timișoara, FEFS</t>
  </si>
  <si>
    <t>Cupa ECOTURUVT - concurs de activități sportive outdoor și educație ecologică - competiție sportivă studențească, Universitatea de Vest din Timișoara, FEFS</t>
  </si>
  <si>
    <t>DESIGN TALKS. SESIUNEA 1</t>
  </si>
  <si>
    <t>Total proiecte extracurriculare</t>
  </si>
  <si>
    <t>Granturi FDI - Fondul de Dezvoltare Instituţională</t>
  </si>
  <si>
    <t xml:space="preserve">Dezvoltare institutionala prin internationalizare pentru toti la Universitatea de Vest din Timi$oara </t>
  </si>
  <si>
    <t>CNFIS-FDI-2021-0369</t>
  </si>
  <si>
    <t xml:space="preserve">Dezvoltarea capacitatii institutionale a Universitatii de Vest din Timișoara i'n domeniul cercetarii $tiintifice de excelenta </t>
  </si>
  <si>
    <t>CNFIS-FDI-2021-0414 12_05_2021_UVT</t>
  </si>
  <si>
    <t xml:space="preserve">lnițiative antreprenoriale și inovative studenți, în cadrul Universității de Vest din Timișoara </t>
  </si>
  <si>
    <t>CNFIS-FDI-2021-0417 12_05_2021</t>
  </si>
  <si>
    <t>Bază de practică aplicativă Gurahonț</t>
  </si>
  <si>
    <t xml:space="preserve"> CNFIS-FDI-2021-0438 14_05_2021</t>
  </si>
  <si>
    <t xml:space="preserve">UVT-Teaching and learning brand: Reflective &amp; Collaborative Learning into action </t>
  </si>
  <si>
    <t xml:space="preserve">CNFIS-FDI-2021-0460 12_05_2021 </t>
  </si>
  <si>
    <t xml:space="preserve">UVT - ACCES și ECHITATE în ÎNVĂȚĂMÂNTUL SUPERIOR </t>
  </si>
  <si>
    <t xml:space="preserve"> CNFIS-FDI-2021-0471 12_05_2021</t>
  </si>
  <si>
    <t>Total proiecte FDI - Fondul de Dezvoltare Instituţională</t>
  </si>
  <si>
    <t>Granturi FSS - Fondului pentru finanțarea situațiilor speciale</t>
  </si>
  <si>
    <t xml:space="preserve">Cererea de proiect 1 cu titlul UVT Liberty Marathon – Ediția a IV-a  </t>
  </si>
  <si>
    <t>FDI</t>
  </si>
  <si>
    <t>Cererea de proiect 2 cu titlul Security Challenges in the Balkans</t>
  </si>
  <si>
    <t>Cererea de proiect 3 Green UVT 2021</t>
  </si>
  <si>
    <t>Cererea de proiect 4 cu titlul Excelență și cultură @ UVT</t>
  </si>
  <si>
    <t xml:space="preserve">Cererea de proiect 5 cu titlul  “UVTerra - impact pentru comunitate” </t>
  </si>
  <si>
    <t>Cererea de proiect 6 cu titlul Arte vizuale și noile paradigme digitale</t>
  </si>
  <si>
    <t>Cererea de proiect 7 cu titlul UVT.SmartBits – Oportunități digitale</t>
  </si>
  <si>
    <t>Cererea de proiect 8 cu titlul Cercetare sustenabilă la UVT</t>
  </si>
  <si>
    <t>Cererea de proiect 9 cu titlul Competențe pentru viitor – Robotică</t>
  </si>
  <si>
    <t>Cererea de proiect 10 cu titlul Arte vizuale, perspective și networking</t>
  </si>
  <si>
    <t>Programul de evaluare externa a studiilor universitare de doctorat din cadrul UVT</t>
  </si>
  <si>
    <t>Working for future-Networking together</t>
  </si>
  <si>
    <t>UNITA 2021</t>
  </si>
  <si>
    <t>Fond pentru sustinere cercetare stiintifica</t>
  </si>
  <si>
    <t>Saptamana de initiere la UVT si Univibes</t>
  </si>
  <si>
    <t>Total proiecte FSS - Fondului pentru finanțarea situațiilor speciale</t>
  </si>
  <si>
    <t xml:space="preserve"> GRANTURI POCU - Programul Operațional Capital Uman</t>
  </si>
  <si>
    <t>Practica de calitate pentru o carieră de succes</t>
  </si>
  <si>
    <t>TOTAL GRANTURI POCU - Programul Operațional Capital Uman</t>
  </si>
  <si>
    <t>Granturi - POC</t>
  </si>
  <si>
    <t>Centrul suport pentru participarea la proiecte internationale – SupportTM</t>
  </si>
  <si>
    <t>Institutul de Cercetări Avansate de Mediu</t>
  </si>
  <si>
    <t>Modernizarea infrastructurii de calcul și stocare a Centrului de Cercetare în Informatică al Universității de Vest din Timișoara pentru oferirea de servicii de tip Cloud și servicii de calcul de înaltă performanță - MOISE</t>
  </si>
  <si>
    <t>Sprijin pentru desfășurarea în condiții de prevenție a activităților didactice aferente anului universitar 2020/2021 la nivelul UVT, în contextul riscului de infecție cu coronavirus SARS-CoV-2</t>
  </si>
  <si>
    <t>Statistici computaționale avansate pentru planificarea și urmărirea mediilor de producție - SCAMP-ML</t>
  </si>
  <si>
    <t>TOTAL GRANTURI POC</t>
  </si>
  <si>
    <t xml:space="preserve">Granturi POIM - Programul Operaţional Infrastructură Mare </t>
  </si>
  <si>
    <t>Sprijin pentru Universitatea de Vest din Timisoara in contextul SARS-COV-2</t>
  </si>
  <si>
    <t xml:space="preserve">TOTAL GRANTURI POIM - Programul Operaţional Infrastructură Mare </t>
  </si>
  <si>
    <t>Proiecte ROSE</t>
  </si>
  <si>
    <t>Dezvoltarea personală și consilierea profesională- cheia pentru reducerea abandonului universitar la FEFS</t>
  </si>
  <si>
    <t>AG388/SGU/SS/III-15.09.2020</t>
  </si>
  <si>
    <t>Sprijin integrat acordat studenților LIT pentru prevenirea abandonului</t>
  </si>
  <si>
    <t>AG382/SGU/SS/III-15.09.2020</t>
  </si>
  <si>
    <t>CONsiliere, Tutorat  și INstruire specifică pentru educație Universitară Eficientă în domeniul Matematicii și Informaticii</t>
  </si>
  <si>
    <t>AG389/SGU/SS/III-15.09.2020</t>
  </si>
  <si>
    <t>Total proiecte ROSE</t>
  </si>
  <si>
    <t>Total sume finanțate de către  UVT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</si>
</sst>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sz val="10.0"/>
      <color theme="1"/>
      <name val="Calibri"/>
    </font>
    <font/>
    <font>
      <b/>
      <sz val="10.0"/>
      <color theme="1"/>
      <name val="Calibri"/>
    </font>
    <font>
      <sz val="11.0"/>
      <color theme="1"/>
      <name val="Calibri"/>
    </font>
    <font>
      <sz val="11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B0F0"/>
        <bgColor rgb="FF00B0F0"/>
      </patternFill>
    </fill>
    <fill>
      <patternFill patternType="solid">
        <fgColor theme="0"/>
        <bgColor theme="0"/>
      </patternFill>
    </fill>
  </fills>
  <borders count="24">
    <border/>
    <border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/>
      <top/>
      <bottom style="thin">
        <color rgb="FF000000"/>
      </bottom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1" fillId="0" fontId="2" numFmtId="0" xfId="0" applyBorder="1" applyFont="1"/>
    <xf borderId="2" fillId="2" fontId="3" numFmtId="0" xfId="0" applyAlignment="1" applyBorder="1" applyFill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2" fontId="3" numFmtId="0" xfId="0" applyAlignment="1" applyBorder="1" applyFont="1">
      <alignment horizontal="center" shrinkToFit="0" vertical="center" wrapText="1"/>
    </xf>
    <xf borderId="5" fillId="2" fontId="3" numFmtId="0" xfId="0" applyAlignment="1" applyBorder="1" applyFont="1">
      <alignment horizontal="center" shrinkToFit="0" wrapText="1"/>
    </xf>
    <xf borderId="6" fillId="0" fontId="2" numFmtId="0" xfId="0" applyBorder="1" applyFont="1"/>
    <xf borderId="0" fillId="0" fontId="1" numFmtId="0" xfId="0" applyAlignment="1" applyFont="1">
      <alignment horizontal="center" vertical="center"/>
    </xf>
    <xf borderId="2" fillId="3" fontId="3" numFmtId="0" xfId="0" applyAlignment="1" applyBorder="1" applyFill="1" applyFont="1">
      <alignment horizontal="left"/>
    </xf>
    <xf borderId="7" fillId="0" fontId="3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center"/>
    </xf>
    <xf borderId="7" fillId="0" fontId="1" numFmtId="0" xfId="0" applyAlignment="1" applyBorder="1" applyFont="1">
      <alignment horizontal="center" shrinkToFit="0" wrapText="1"/>
    </xf>
    <xf borderId="7" fillId="0" fontId="1" numFmtId="3" xfId="0" applyAlignment="1" applyBorder="1" applyFont="1" applyNumberFormat="1">
      <alignment horizontal="center" vertical="center"/>
    </xf>
    <xf borderId="8" fillId="0" fontId="2" numFmtId="0" xfId="0" applyBorder="1" applyFont="1"/>
    <xf borderId="7" fillId="3" fontId="3" numFmtId="3" xfId="0" applyAlignment="1" applyBorder="1" applyFont="1" applyNumberFormat="1">
      <alignment horizontal="center"/>
    </xf>
    <xf borderId="9" fillId="4" fontId="3" numFmtId="0" xfId="0" applyAlignment="1" applyBorder="1" applyFill="1" applyFont="1">
      <alignment horizontal="left"/>
    </xf>
    <xf borderId="10" fillId="4" fontId="4" numFmtId="0" xfId="0" applyBorder="1" applyFont="1"/>
    <xf borderId="11" fillId="4" fontId="3" numFmtId="3" xfId="0" applyAlignment="1" applyBorder="1" applyFont="1" applyNumberFormat="1">
      <alignment horizontal="center"/>
    </xf>
    <xf borderId="12" fillId="4" fontId="1" numFmtId="0" xfId="0" applyBorder="1" applyFont="1"/>
    <xf borderId="12" fillId="4" fontId="4" numFmtId="0" xfId="0" applyBorder="1" applyFont="1"/>
    <xf borderId="7" fillId="0" fontId="3" numFmtId="0" xfId="0" applyAlignment="1" applyBorder="1" applyFont="1">
      <alignment horizontal="center" shrinkToFit="0" vertical="center" wrapText="1"/>
    </xf>
    <xf borderId="7" fillId="0" fontId="1" numFmtId="0" xfId="0" applyAlignment="1" applyBorder="1" applyFont="1">
      <alignment horizontal="center" shrinkToFit="0" vertical="center" wrapText="1"/>
    </xf>
    <xf borderId="7" fillId="0" fontId="1" numFmtId="4" xfId="0" applyAlignment="1" applyBorder="1" applyFont="1" applyNumberFormat="1">
      <alignment horizontal="center" shrinkToFit="0" vertical="center" wrapText="1"/>
    </xf>
    <xf borderId="7" fillId="3" fontId="3" numFmtId="4" xfId="0" applyAlignment="1" applyBorder="1" applyFont="1" applyNumberFormat="1">
      <alignment horizontal="center" shrinkToFit="0" wrapText="1"/>
    </xf>
    <xf borderId="11" fillId="4" fontId="3" numFmtId="4" xfId="0" applyAlignment="1" applyBorder="1" applyFont="1" applyNumberFormat="1">
      <alignment horizontal="center" shrinkToFit="0" wrapText="1"/>
    </xf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13" fillId="3" fontId="3" numFmtId="0" xfId="0" applyAlignment="1" applyBorder="1" applyFont="1">
      <alignment horizontal="left"/>
    </xf>
    <xf borderId="14" fillId="0" fontId="2" numFmtId="0" xfId="0" applyBorder="1" applyFont="1"/>
    <xf borderId="15" fillId="0" fontId="2" numFmtId="0" xfId="0" applyBorder="1" applyFont="1"/>
    <xf borderId="7" fillId="0" fontId="1" numFmtId="0" xfId="0" applyAlignment="1" applyBorder="1" applyFont="1">
      <alignment horizontal="center" readingOrder="0" shrinkToFit="0" vertical="center" wrapText="1"/>
    </xf>
    <xf borderId="16" fillId="3" fontId="3" numFmtId="0" xfId="0" applyAlignment="1" applyBorder="1" applyFont="1">
      <alignment horizontal="left"/>
    </xf>
    <xf borderId="17" fillId="0" fontId="2" numFmtId="0" xfId="0" applyBorder="1" applyFont="1"/>
    <xf borderId="18" fillId="0" fontId="2" numFmtId="0" xfId="0" applyBorder="1" applyFont="1"/>
    <xf borderId="12" fillId="4" fontId="3" numFmtId="0" xfId="0" applyAlignment="1" applyBorder="1" applyFont="1">
      <alignment horizontal="left"/>
    </xf>
    <xf borderId="19" fillId="4" fontId="3" numFmtId="4" xfId="0" applyAlignment="1" applyBorder="1" applyFont="1" applyNumberFormat="1">
      <alignment horizontal="center" shrinkToFit="0" wrapText="1"/>
    </xf>
    <xf borderId="20" fillId="3" fontId="3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center" vertical="center"/>
    </xf>
    <xf borderId="7" fillId="0" fontId="1" numFmtId="0" xfId="0" applyAlignment="1" applyBorder="1" applyFont="1">
      <alignment horizontal="left" shrinkToFit="0" wrapText="1"/>
    </xf>
    <xf borderId="0" fillId="0" fontId="5" numFmtId="0" xfId="0" applyFont="1"/>
    <xf borderId="21" fillId="3" fontId="3" numFmtId="4" xfId="0" applyAlignment="1" applyBorder="1" applyFont="1" applyNumberFormat="1">
      <alignment horizontal="center" shrinkToFit="0" wrapText="1"/>
    </xf>
    <xf borderId="22" fillId="0" fontId="3" numFmtId="4" xfId="0" applyAlignment="1" applyBorder="1" applyFont="1" applyNumberFormat="1">
      <alignment horizontal="center" shrinkToFit="0" vertical="center" wrapText="1"/>
    </xf>
    <xf borderId="23" fillId="0" fontId="3" numFmtId="4" xfId="0" applyAlignment="1" applyBorder="1" applyFont="1" applyNumberFormat="1">
      <alignment horizontal="center" shrinkToFit="0" wrapText="1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7943850" cy="952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43"/>
    <col customWidth="1" min="2" max="2" width="76.29"/>
    <col customWidth="1" min="3" max="3" width="27.29"/>
    <col customWidth="1" min="4" max="4" width="16.29"/>
    <col customWidth="1" min="5" max="21" width="13.86"/>
  </cols>
  <sheetData>
    <row r="1" ht="12.75" customHeight="1">
      <c r="A1" s="1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ht="12.75" customHeight="1"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12.75" customHeight="1"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ht="12.75" customHeight="1"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ht="12.75" customHeight="1"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</row>
    <row r="6" ht="12.75" customHeight="1">
      <c r="A6" s="3"/>
      <c r="B6" s="3"/>
      <c r="C6" s="3"/>
      <c r="D6" s="3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ht="21.75" customHeight="1">
      <c r="A7" s="4" t="s">
        <v>0</v>
      </c>
      <c r="B7" s="5"/>
      <c r="C7" s="5"/>
      <c r="D7" s="6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</row>
    <row r="8" ht="5.25" customHeight="1">
      <c r="A8" s="7" t="s">
        <v>1</v>
      </c>
      <c r="B8" s="8" t="s">
        <v>2</v>
      </c>
      <c r="C8" s="8" t="s">
        <v>3</v>
      </c>
      <c r="D8" s="8" t="s">
        <v>4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</row>
    <row r="9" ht="55.5" customHeight="1">
      <c r="A9" s="9"/>
      <c r="B9" s="9"/>
      <c r="C9" s="9"/>
      <c r="D9" s="9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ht="15.0" customHeight="1">
      <c r="A10" s="11" t="s">
        <v>5</v>
      </c>
      <c r="B10" s="5"/>
      <c r="C10" s="5"/>
      <c r="D10" s="6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</row>
    <row r="11" ht="12.75" customHeight="1">
      <c r="A11" s="12">
        <v>1.0</v>
      </c>
      <c r="B11" s="13" t="s">
        <v>6</v>
      </c>
      <c r="C11" s="14" t="s">
        <v>7</v>
      </c>
      <c r="D11" s="15">
        <v>30000.0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</row>
    <row r="12" ht="12.75" customHeight="1">
      <c r="A12" s="12">
        <v>2.0</v>
      </c>
      <c r="B12" s="13" t="s">
        <v>8</v>
      </c>
      <c r="C12" s="14" t="s">
        <v>9</v>
      </c>
      <c r="D12" s="15">
        <v>30000.0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ht="12.75" customHeight="1">
      <c r="A13" s="11" t="s">
        <v>10</v>
      </c>
      <c r="B13" s="5"/>
      <c r="C13" s="16"/>
      <c r="D13" s="17">
        <f>D11+D12</f>
        <v>60000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</row>
    <row r="14" ht="12.75" customHeight="1">
      <c r="A14" s="18"/>
      <c r="B14" s="19"/>
      <c r="C14" s="19"/>
      <c r="D14" s="20"/>
      <c r="E14" s="21"/>
      <c r="F14" s="21"/>
      <c r="G14" s="21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1"/>
      <c r="S14" s="21"/>
      <c r="T14" s="21"/>
      <c r="U14" s="21"/>
      <c r="V14" s="22"/>
      <c r="W14" s="22"/>
      <c r="X14" s="22"/>
      <c r="Y14" s="22"/>
      <c r="Z14" s="22"/>
    </row>
    <row r="15">
      <c r="A15" s="11" t="s">
        <v>11</v>
      </c>
      <c r="B15" s="5"/>
      <c r="C15" s="5"/>
      <c r="D15" s="6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</row>
    <row r="16">
      <c r="A16" s="23">
        <v>1.0</v>
      </c>
      <c r="B16" s="24" t="s">
        <v>12</v>
      </c>
      <c r="C16" s="24" t="s">
        <v>13</v>
      </c>
      <c r="D16" s="25">
        <f>391739.25*4.6</f>
        <v>1802000.55</v>
      </c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</row>
    <row r="17" ht="12.75" customHeight="1">
      <c r="A17" s="11" t="s">
        <v>14</v>
      </c>
      <c r="B17" s="5"/>
      <c r="C17" s="16"/>
      <c r="D17" s="26">
        <f>SUM(D16)</f>
        <v>1802000.55</v>
      </c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</row>
    <row r="18" ht="12.75" customHeight="1">
      <c r="A18" s="18"/>
      <c r="B18" s="19"/>
      <c r="C18" s="19"/>
      <c r="D18" s="27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2"/>
      <c r="W18" s="22"/>
      <c r="X18" s="22"/>
      <c r="Y18" s="22"/>
      <c r="Z18" s="22"/>
    </row>
    <row r="19" ht="12.75" customHeight="1">
      <c r="A19" s="11" t="s">
        <v>15</v>
      </c>
      <c r="B19" s="5"/>
      <c r="C19" s="5"/>
      <c r="D19" s="6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</row>
    <row r="20" ht="12.75" customHeight="1">
      <c r="A20" s="23">
        <v>1.0</v>
      </c>
      <c r="B20" s="24" t="s">
        <v>16</v>
      </c>
      <c r="C20" s="24" t="s">
        <v>17</v>
      </c>
      <c r="D20" s="25">
        <v>17150.0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</row>
    <row r="21" ht="12.75" customHeight="1">
      <c r="A21" s="23">
        <v>2.0</v>
      </c>
      <c r="B21" s="24" t="s">
        <v>18</v>
      </c>
      <c r="C21" s="24" t="s">
        <v>17</v>
      </c>
      <c r="D21" s="25">
        <v>65900.0</v>
      </c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</row>
    <row r="22" ht="12.75" customHeight="1">
      <c r="A22" s="23">
        <v>3.0</v>
      </c>
      <c r="B22" s="24" t="s">
        <v>19</v>
      </c>
      <c r="C22" s="24" t="s">
        <v>17</v>
      </c>
      <c r="D22" s="25">
        <v>70375.0</v>
      </c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</row>
    <row r="23" ht="12.75" customHeight="1">
      <c r="A23" s="23">
        <v>4.0</v>
      </c>
      <c r="B23" s="24" t="s">
        <v>20</v>
      </c>
      <c r="C23" s="24" t="s">
        <v>17</v>
      </c>
      <c r="D23" s="25">
        <v>4000.0</v>
      </c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</row>
    <row r="24" ht="12.75" customHeight="1">
      <c r="A24" s="23">
        <v>5.0</v>
      </c>
      <c r="B24" s="24" t="s">
        <v>21</v>
      </c>
      <c r="C24" s="24" t="s">
        <v>17</v>
      </c>
      <c r="D24" s="25">
        <v>13515.0</v>
      </c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</row>
    <row r="25" ht="12.75" customHeight="1">
      <c r="A25" s="23">
        <v>6.0</v>
      </c>
      <c r="B25" s="24" t="s">
        <v>22</v>
      </c>
      <c r="C25" s="24" t="s">
        <v>17</v>
      </c>
      <c r="D25" s="25">
        <v>29900.0</v>
      </c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</row>
    <row r="26" ht="12.75" customHeight="1">
      <c r="A26" s="23">
        <v>7.0</v>
      </c>
      <c r="B26" s="24" t="s">
        <v>23</v>
      </c>
      <c r="C26" s="24" t="s">
        <v>17</v>
      </c>
      <c r="D26" s="25">
        <v>10950.0</v>
      </c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</row>
    <row r="27" ht="12.75" customHeight="1">
      <c r="A27" s="23">
        <v>8.0</v>
      </c>
      <c r="B27" s="24" t="s">
        <v>24</v>
      </c>
      <c r="C27" s="24" t="s">
        <v>17</v>
      </c>
      <c r="D27" s="25">
        <v>10915.0</v>
      </c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</row>
    <row r="28" ht="12.75" customHeight="1">
      <c r="A28" s="23">
        <v>9.0</v>
      </c>
      <c r="B28" s="24" t="s">
        <v>25</v>
      </c>
      <c r="C28" s="24" t="s">
        <v>17</v>
      </c>
      <c r="D28" s="25">
        <v>12850.0</v>
      </c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</row>
    <row r="29" ht="12.75" customHeight="1">
      <c r="A29" s="23">
        <v>10.0</v>
      </c>
      <c r="B29" s="24" t="s">
        <v>26</v>
      </c>
      <c r="C29" s="24" t="s">
        <v>17</v>
      </c>
      <c r="D29" s="25">
        <v>8000.0</v>
      </c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</row>
    <row r="30" ht="12.75" customHeight="1">
      <c r="A30" s="23">
        <v>11.0</v>
      </c>
      <c r="B30" s="24" t="s">
        <v>27</v>
      </c>
      <c r="C30" s="24" t="s">
        <v>17</v>
      </c>
      <c r="D30" s="25">
        <v>9945.0</v>
      </c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</row>
    <row r="31" ht="12.75" customHeight="1">
      <c r="A31" s="23">
        <v>12.0</v>
      </c>
      <c r="B31" s="24" t="s">
        <v>28</v>
      </c>
      <c r="C31" s="24" t="s">
        <v>17</v>
      </c>
      <c r="D31" s="25">
        <v>19800.0</v>
      </c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</row>
    <row r="32" ht="12.75" customHeight="1">
      <c r="A32" s="23">
        <v>13.0</v>
      </c>
      <c r="B32" s="24" t="s">
        <v>29</v>
      </c>
      <c r="C32" s="24" t="s">
        <v>17</v>
      </c>
      <c r="D32" s="25">
        <v>6160.0</v>
      </c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</row>
    <row r="33" ht="12.75" customHeight="1">
      <c r="A33" s="11" t="s">
        <v>30</v>
      </c>
      <c r="B33" s="5"/>
      <c r="C33" s="6"/>
      <c r="D33" s="26">
        <f>SUM(D20:D32)</f>
        <v>279460</v>
      </c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</row>
    <row r="34" ht="12.75" customHeight="1">
      <c r="A34" s="28"/>
      <c r="B34" s="29"/>
      <c r="C34" s="29"/>
      <c r="D34" s="29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</row>
    <row r="35" ht="12.75" customHeight="1">
      <c r="A35" s="11" t="s">
        <v>31</v>
      </c>
      <c r="B35" s="5"/>
      <c r="C35" s="5"/>
      <c r="D35" s="6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ht="15.75" customHeight="1">
      <c r="A36" s="12">
        <v>1.0</v>
      </c>
      <c r="B36" s="24" t="s">
        <v>32</v>
      </c>
      <c r="C36" s="24" t="s">
        <v>33</v>
      </c>
      <c r="D36" s="15">
        <v>380000.0</v>
      </c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  <row r="37" ht="15.75" customHeight="1">
      <c r="A37" s="12">
        <v>2.0</v>
      </c>
      <c r="B37" s="24" t="s">
        <v>34</v>
      </c>
      <c r="C37" s="24" t="s">
        <v>35</v>
      </c>
      <c r="D37" s="15">
        <v>380000.0</v>
      </c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</row>
    <row r="38" ht="15.75" customHeight="1">
      <c r="A38" s="12">
        <v>3.0</v>
      </c>
      <c r="B38" s="24" t="s">
        <v>36</v>
      </c>
      <c r="C38" s="24" t="s">
        <v>37</v>
      </c>
      <c r="D38" s="15">
        <v>237000.0</v>
      </c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</row>
    <row r="39" ht="15.75" customHeight="1">
      <c r="A39" s="12">
        <v>4.0</v>
      </c>
      <c r="B39" s="24" t="s">
        <v>38</v>
      </c>
      <c r="C39" s="24" t="s">
        <v>39</v>
      </c>
      <c r="D39" s="25">
        <v>360000.0</v>
      </c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</row>
    <row r="40" ht="15.75" customHeight="1">
      <c r="A40" s="12">
        <v>5.0</v>
      </c>
      <c r="B40" s="24" t="s">
        <v>40</v>
      </c>
      <c r="C40" s="24" t="s">
        <v>41</v>
      </c>
      <c r="D40" s="25">
        <v>380000.0</v>
      </c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ht="15.75" customHeight="1">
      <c r="A41" s="12">
        <v>6.0</v>
      </c>
      <c r="B41" s="24" t="s">
        <v>42</v>
      </c>
      <c r="C41" s="24" t="s">
        <v>43</v>
      </c>
      <c r="D41" s="25">
        <v>360000.0</v>
      </c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ht="12.75" customHeight="1">
      <c r="A42" s="11" t="s">
        <v>44</v>
      </c>
      <c r="B42" s="5"/>
      <c r="C42" s="16"/>
      <c r="D42" s="26">
        <f>SUM(D36:D41)</f>
        <v>2097000</v>
      </c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ht="12.75" customHeight="1">
      <c r="A43" s="28"/>
      <c r="B43" s="29"/>
      <c r="C43" s="29"/>
      <c r="D43" s="29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</row>
    <row r="44" ht="12.75" customHeight="1">
      <c r="A44" s="30" t="s">
        <v>45</v>
      </c>
      <c r="B44" s="31"/>
      <c r="C44" s="31"/>
      <c r="D44" s="3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</row>
    <row r="45" ht="15.75" customHeight="1">
      <c r="A45" s="12">
        <v>1.0</v>
      </c>
      <c r="B45" s="24" t="s">
        <v>46</v>
      </c>
      <c r="C45" s="33" t="s">
        <v>47</v>
      </c>
      <c r="D45" s="25">
        <v>330000.0</v>
      </c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</row>
    <row r="46" ht="15.75" customHeight="1">
      <c r="A46" s="12">
        <v>2.0</v>
      </c>
      <c r="B46" s="24" t="s">
        <v>48</v>
      </c>
      <c r="C46" s="33" t="s">
        <v>47</v>
      </c>
      <c r="D46" s="25">
        <v>325000.0</v>
      </c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</row>
    <row r="47" ht="15.75" customHeight="1">
      <c r="A47" s="12">
        <v>3.0</v>
      </c>
      <c r="B47" s="24" t="s">
        <v>49</v>
      </c>
      <c r="C47" s="33" t="s">
        <v>47</v>
      </c>
      <c r="D47" s="25">
        <v>299760.0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</row>
    <row r="48" ht="15.75" customHeight="1">
      <c r="A48" s="12">
        <v>4.0</v>
      </c>
      <c r="B48" s="24" t="s">
        <v>50</v>
      </c>
      <c r="C48" s="33" t="s">
        <v>47</v>
      </c>
      <c r="D48" s="25">
        <v>250000.0</v>
      </c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</row>
    <row r="49" ht="15.75" customHeight="1">
      <c r="A49" s="12">
        <v>5.0</v>
      </c>
      <c r="B49" s="24" t="s">
        <v>51</v>
      </c>
      <c r="C49" s="33" t="s">
        <v>47</v>
      </c>
      <c r="D49" s="25">
        <v>309000.0</v>
      </c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</row>
    <row r="50" ht="15.75" customHeight="1">
      <c r="A50" s="12">
        <v>6.0</v>
      </c>
      <c r="B50" s="24" t="s">
        <v>52</v>
      </c>
      <c r="C50" s="33" t="s">
        <v>47</v>
      </c>
      <c r="D50" s="25">
        <v>236000.0</v>
      </c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</row>
    <row r="51" ht="15.75" customHeight="1">
      <c r="A51" s="12">
        <v>7.0</v>
      </c>
      <c r="B51" s="24" t="s">
        <v>53</v>
      </c>
      <c r="C51" s="33" t="s">
        <v>47</v>
      </c>
      <c r="D51" s="25">
        <v>390000.0</v>
      </c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</row>
    <row r="52" ht="15.75" customHeight="1">
      <c r="A52" s="12">
        <v>8.0</v>
      </c>
      <c r="B52" s="24" t="s">
        <v>54</v>
      </c>
      <c r="C52" s="33" t="s">
        <v>47</v>
      </c>
      <c r="D52" s="25">
        <v>245065.0</v>
      </c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</row>
    <row r="53" ht="15.75" customHeight="1">
      <c r="A53" s="12">
        <v>9.0</v>
      </c>
      <c r="B53" s="24" t="s">
        <v>55</v>
      </c>
      <c r="C53" s="33" t="s">
        <v>47</v>
      </c>
      <c r="D53" s="25">
        <v>346900.0</v>
      </c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</row>
    <row r="54" ht="15.75" customHeight="1">
      <c r="A54" s="12">
        <v>10.0</v>
      </c>
      <c r="B54" s="24" t="s">
        <v>56</v>
      </c>
      <c r="C54" s="33" t="s">
        <v>47</v>
      </c>
      <c r="D54" s="25">
        <v>170000.0</v>
      </c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</row>
    <row r="55" ht="15.75" customHeight="1">
      <c r="A55" s="12">
        <v>11.0</v>
      </c>
      <c r="B55" s="24" t="s">
        <v>57</v>
      </c>
      <c r="C55" s="33" t="s">
        <v>47</v>
      </c>
      <c r="D55" s="25">
        <v>586672.0</v>
      </c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</row>
    <row r="56" ht="15.75" customHeight="1">
      <c r="A56" s="12">
        <v>12.0</v>
      </c>
      <c r="B56" s="24" t="s">
        <v>58</v>
      </c>
      <c r="C56" s="33" t="s">
        <v>47</v>
      </c>
      <c r="D56" s="25">
        <v>214500.0</v>
      </c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</row>
    <row r="57" ht="15.75" customHeight="1">
      <c r="A57" s="12">
        <v>13.0</v>
      </c>
      <c r="B57" s="24" t="s">
        <v>59</v>
      </c>
      <c r="C57" s="33" t="s">
        <v>47</v>
      </c>
      <c r="D57" s="25">
        <v>350000.0</v>
      </c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</row>
    <row r="58" ht="15.75" customHeight="1">
      <c r="A58" s="12">
        <v>14.0</v>
      </c>
      <c r="B58" s="24" t="s">
        <v>60</v>
      </c>
      <c r="C58" s="33" t="s">
        <v>47</v>
      </c>
      <c r="D58" s="25">
        <v>4412834.0</v>
      </c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</row>
    <row r="59" ht="15.75" customHeight="1">
      <c r="A59" s="12">
        <v>15.0</v>
      </c>
      <c r="B59" s="24" t="s">
        <v>61</v>
      </c>
      <c r="C59" s="33" t="s">
        <v>47</v>
      </c>
      <c r="D59" s="25">
        <v>271400.0</v>
      </c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</row>
    <row r="60" ht="15.75" customHeight="1">
      <c r="A60" s="34" t="s">
        <v>62</v>
      </c>
      <c r="B60" s="35"/>
      <c r="C60" s="36"/>
      <c r="D60" s="26">
        <f>SUM(D45:D59)</f>
        <v>8737131</v>
      </c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</row>
    <row r="61" ht="15.75" customHeight="1">
      <c r="A61" s="37"/>
      <c r="B61" s="37"/>
      <c r="C61" s="37"/>
      <c r="D61" s="38"/>
      <c r="E61" s="21"/>
      <c r="F61" s="21"/>
      <c r="G61" s="21"/>
      <c r="H61" s="21"/>
      <c r="I61" s="21"/>
      <c r="J61" s="21"/>
      <c r="K61" s="21"/>
      <c r="L61" s="21"/>
      <c r="M61" s="21"/>
      <c r="N61" s="21"/>
      <c r="O61" s="21"/>
      <c r="P61" s="21"/>
      <c r="Q61" s="21"/>
      <c r="R61" s="21"/>
      <c r="S61" s="21"/>
      <c r="T61" s="21"/>
      <c r="U61" s="21"/>
      <c r="V61" s="22"/>
      <c r="W61" s="22"/>
      <c r="X61" s="22"/>
      <c r="Y61" s="22"/>
      <c r="Z61" s="22"/>
    </row>
    <row r="62" ht="12.75" customHeight="1">
      <c r="A62" s="39" t="s">
        <v>63</v>
      </c>
      <c r="B62" s="31"/>
      <c r="C62" s="31"/>
      <c r="D62" s="3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</row>
    <row r="63" ht="12.75" customHeight="1">
      <c r="A63" s="12">
        <v>1.0</v>
      </c>
      <c r="B63" s="24" t="s">
        <v>64</v>
      </c>
      <c r="C63" s="24">
        <v>130348.0</v>
      </c>
      <c r="D63" s="25">
        <v>4328105.52</v>
      </c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</row>
    <row r="64" ht="12.75" customHeight="1">
      <c r="A64" s="11" t="s">
        <v>65</v>
      </c>
      <c r="B64" s="5"/>
      <c r="C64" s="16"/>
      <c r="D64" s="26">
        <f>SUM(D63)</f>
        <v>4328105.52</v>
      </c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</row>
    <row r="65" ht="12.75" customHeight="1">
      <c r="A65" s="28"/>
      <c r="B65" s="29"/>
      <c r="C65" s="29"/>
      <c r="D65" s="29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</row>
    <row r="66" ht="12.75" customHeight="1">
      <c r="A66" s="11" t="s">
        <v>66</v>
      </c>
      <c r="B66" s="5"/>
      <c r="C66" s="5"/>
      <c r="D66" s="6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</row>
    <row r="67" ht="15.75" customHeight="1">
      <c r="A67" s="12">
        <v>1.0</v>
      </c>
      <c r="B67" s="14" t="s">
        <v>67</v>
      </c>
      <c r="C67" s="40">
        <v>108173.0</v>
      </c>
      <c r="D67" s="25">
        <v>2939518.0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</row>
    <row r="68" ht="15.75" customHeight="1">
      <c r="A68" s="12">
        <v>2.0</v>
      </c>
      <c r="B68" s="14" t="s">
        <v>68</v>
      </c>
      <c r="C68" s="13">
        <v>106343.0</v>
      </c>
      <c r="D68" s="25">
        <v>2.8466129E7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</row>
    <row r="69" ht="15.75" customHeight="1">
      <c r="A69" s="12">
        <v>3.0</v>
      </c>
      <c r="B69" s="14" t="s">
        <v>69</v>
      </c>
      <c r="C69" s="13">
        <v>124562.0</v>
      </c>
      <c r="D69" s="25">
        <v>5695580.54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</row>
    <row r="70" ht="15.75" customHeight="1">
      <c r="A70" s="12">
        <v>4.0</v>
      </c>
      <c r="B70" s="14" t="s">
        <v>70</v>
      </c>
      <c r="C70" s="13">
        <v>149725.0</v>
      </c>
      <c r="D70" s="25">
        <v>794041.9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</row>
    <row r="71" ht="15.75" customHeight="1">
      <c r="A71" s="12">
        <v>5.0</v>
      </c>
      <c r="B71" s="14" t="s">
        <v>71</v>
      </c>
      <c r="C71" s="40">
        <v>120725.0</v>
      </c>
      <c r="D71" s="25">
        <v>1384046.25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</row>
    <row r="72" ht="12.75" customHeight="1">
      <c r="A72" s="11" t="s">
        <v>72</v>
      </c>
      <c r="B72" s="5"/>
      <c r="C72" s="16"/>
      <c r="D72" s="26">
        <f>SUM(D67:D71)</f>
        <v>39279315.69</v>
      </c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</row>
    <row r="73" ht="12.75" customHeight="1">
      <c r="A73" s="28"/>
      <c r="B73" s="29"/>
      <c r="C73" s="29"/>
      <c r="D73" s="29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</row>
    <row r="74" ht="12.75" customHeight="1">
      <c r="A74" s="11" t="s">
        <v>73</v>
      </c>
      <c r="B74" s="5"/>
      <c r="C74" s="5"/>
      <c r="D74" s="6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</row>
    <row r="75" ht="12.75" customHeight="1">
      <c r="A75" s="12">
        <v>1.0</v>
      </c>
      <c r="B75" s="41" t="s">
        <v>74</v>
      </c>
      <c r="C75" s="40">
        <v>143325.0</v>
      </c>
      <c r="D75" s="25">
        <v>1203275.43</v>
      </c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</row>
    <row r="76" ht="12.75" customHeight="1">
      <c r="A76" s="11" t="s">
        <v>75</v>
      </c>
      <c r="B76" s="5"/>
      <c r="C76" s="16"/>
      <c r="D76" s="26">
        <f>SUM(D75)</f>
        <v>1203275.43</v>
      </c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</row>
    <row r="77" ht="12.75" customHeight="1">
      <c r="A77" s="28"/>
      <c r="B77" s="29"/>
      <c r="C77" s="29"/>
      <c r="D77" s="29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</row>
    <row r="78" ht="12.75" customHeight="1">
      <c r="A78" s="11" t="s">
        <v>76</v>
      </c>
      <c r="B78" s="5"/>
      <c r="C78" s="5"/>
      <c r="D78" s="6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42"/>
    </row>
    <row r="79" ht="15.75" customHeight="1">
      <c r="A79" s="13">
        <v>8.0</v>
      </c>
      <c r="B79" s="24" t="s">
        <v>77</v>
      </c>
      <c r="C79" s="24" t="s">
        <v>78</v>
      </c>
      <c r="D79" s="25">
        <v>708034.0</v>
      </c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42"/>
    </row>
    <row r="80" ht="15.75" customHeight="1">
      <c r="A80" s="13">
        <v>4.0</v>
      </c>
      <c r="B80" s="24" t="s">
        <v>79</v>
      </c>
      <c r="C80" s="24" t="s">
        <v>80</v>
      </c>
      <c r="D80" s="25">
        <v>709714.0</v>
      </c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42"/>
    </row>
    <row r="81" ht="15.75" customHeight="1">
      <c r="A81" s="13">
        <v>5.0</v>
      </c>
      <c r="B81" s="24" t="s">
        <v>81</v>
      </c>
      <c r="C81" s="24" t="s">
        <v>82</v>
      </c>
      <c r="D81" s="25">
        <v>706474.0</v>
      </c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42"/>
    </row>
    <row r="82" ht="12.75" customHeight="1">
      <c r="A82" s="11" t="s">
        <v>83</v>
      </c>
      <c r="B82" s="5"/>
      <c r="C82" s="16"/>
      <c r="D82" s="43">
        <v>1.0157571E7</v>
      </c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</row>
    <row r="83" ht="24.0" customHeight="1">
      <c r="A83" s="28"/>
      <c r="B83" s="29"/>
      <c r="C83" s="44" t="s">
        <v>84</v>
      </c>
      <c r="D83" s="45">
        <f>D82+D76+D72+D64+D60+D42+D33+D17+D13</f>
        <v>67943859.19</v>
      </c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</row>
    <row r="84" ht="12.75" customHeight="1">
      <c r="A84" s="28"/>
      <c r="B84" s="29"/>
      <c r="C84" s="29"/>
      <c r="D84" s="29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</row>
    <row r="85" ht="12.75" customHeight="1">
      <c r="A85" s="28"/>
      <c r="B85" s="29"/>
      <c r="C85" s="29"/>
      <c r="D85" s="29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</row>
    <row r="86" ht="12.75" customHeight="1">
      <c r="A86" s="28"/>
      <c r="B86" s="29"/>
      <c r="C86" s="29"/>
      <c r="D86" s="29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</row>
    <row r="87" ht="12.75" customHeight="1">
      <c r="A87" s="28"/>
      <c r="B87" s="29"/>
      <c r="C87" s="29"/>
      <c r="D87" s="29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</row>
    <row r="88" ht="12.75" customHeight="1">
      <c r="A88" s="28"/>
      <c r="B88" s="29"/>
      <c r="C88" s="29"/>
      <c r="D88" s="29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</row>
    <row r="89" ht="12.75" customHeight="1">
      <c r="A89" s="28"/>
      <c r="B89" s="29"/>
      <c r="C89" s="29"/>
      <c r="D89" s="29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</row>
    <row r="90" ht="12.75" customHeight="1">
      <c r="A90" s="28"/>
      <c r="B90" s="29"/>
      <c r="C90" s="29"/>
      <c r="D90" s="29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</row>
    <row r="91" ht="12.75" customHeight="1">
      <c r="A91" s="28"/>
      <c r="B91" s="29"/>
      <c r="C91" s="29"/>
      <c r="D91" s="29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</row>
    <row r="92" ht="12.75" customHeight="1">
      <c r="A92" s="28"/>
      <c r="B92" s="29"/>
      <c r="C92" s="29"/>
      <c r="D92" s="29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</row>
    <row r="93" ht="12.75" customHeight="1">
      <c r="A93" s="28"/>
      <c r="B93" s="29"/>
      <c r="C93" s="29"/>
      <c r="D93" s="29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</row>
    <row r="94" ht="12.75" customHeight="1">
      <c r="A94" s="28"/>
      <c r="B94" s="29"/>
      <c r="C94" s="29"/>
      <c r="D94" s="29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</row>
    <row r="95" ht="12.75" customHeight="1">
      <c r="A95" s="28"/>
      <c r="B95" s="29"/>
      <c r="C95" s="29"/>
      <c r="D95" s="29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</row>
    <row r="96" ht="12.75" customHeight="1">
      <c r="A96" s="28"/>
      <c r="B96" s="29"/>
      <c r="C96" s="29"/>
      <c r="D96" s="29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</row>
    <row r="97" ht="12.75" customHeight="1">
      <c r="A97" s="28"/>
      <c r="B97" s="29"/>
      <c r="C97" s="29"/>
      <c r="D97" s="29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</row>
    <row r="98" ht="12.75" customHeight="1">
      <c r="A98" s="28"/>
      <c r="B98" s="29"/>
      <c r="C98" s="29"/>
      <c r="D98" s="29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</row>
    <row r="99" ht="12.75" customHeight="1">
      <c r="A99" s="28"/>
      <c r="B99" s="29"/>
      <c r="C99" s="29"/>
      <c r="D99" s="29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</row>
    <row r="100" ht="12.75" customHeight="1">
      <c r="A100" s="28"/>
      <c r="B100" s="29"/>
      <c r="C100" s="29"/>
      <c r="D100" s="29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</row>
    <row r="101" ht="12.75" customHeight="1">
      <c r="A101" s="28"/>
      <c r="B101" s="29"/>
      <c r="C101" s="29"/>
      <c r="D101" s="29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</row>
    <row r="102" ht="12.75" customHeight="1">
      <c r="A102" s="28"/>
      <c r="B102" s="29"/>
      <c r="C102" s="29"/>
      <c r="D102" s="29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</row>
    <row r="103" ht="12.75" customHeight="1">
      <c r="A103" s="28"/>
      <c r="B103" s="29"/>
      <c r="C103" s="29"/>
      <c r="D103" s="29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</row>
    <row r="104" ht="12.75" customHeight="1">
      <c r="A104" s="28"/>
      <c r="B104" s="29"/>
      <c r="C104" s="29"/>
      <c r="D104" s="29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</row>
    <row r="105" ht="12.75" customHeight="1">
      <c r="A105" s="28"/>
      <c r="B105" s="29"/>
      <c r="C105" s="29"/>
      <c r="D105" s="29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</row>
    <row r="106" ht="12.75" customHeight="1">
      <c r="A106" s="28"/>
      <c r="B106" s="29"/>
      <c r="C106" s="29"/>
      <c r="D106" s="29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</row>
    <row r="107" ht="12.75" customHeight="1">
      <c r="A107" s="28"/>
      <c r="B107" s="29"/>
      <c r="C107" s="29"/>
      <c r="D107" s="29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</row>
    <row r="108" ht="12.75" customHeight="1">
      <c r="A108" s="28"/>
      <c r="B108" s="29"/>
      <c r="C108" s="29"/>
      <c r="D108" s="29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</row>
    <row r="109" ht="12.75" customHeight="1">
      <c r="A109" s="28"/>
      <c r="B109" s="29"/>
      <c r="C109" s="29"/>
      <c r="D109" s="29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</row>
    <row r="110" ht="12.75" customHeight="1">
      <c r="A110" s="28"/>
      <c r="B110" s="29"/>
      <c r="C110" s="29"/>
      <c r="D110" s="29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</row>
    <row r="111" ht="12.75" customHeight="1">
      <c r="A111" s="28"/>
      <c r="B111" s="29"/>
      <c r="C111" s="29"/>
      <c r="D111" s="29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</row>
    <row r="112" ht="12.75" customHeight="1">
      <c r="A112" s="28"/>
      <c r="B112" s="29"/>
      <c r="C112" s="29"/>
      <c r="D112" s="29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</row>
    <row r="113" ht="12.75" customHeight="1">
      <c r="A113" s="28"/>
      <c r="B113" s="29"/>
      <c r="C113" s="29"/>
      <c r="D113" s="29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</row>
    <row r="114" ht="12.75" customHeight="1">
      <c r="A114" s="28"/>
      <c r="B114" s="29"/>
      <c r="C114" s="29"/>
      <c r="D114" s="29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</row>
    <row r="115" ht="12.75" customHeight="1">
      <c r="A115" s="28"/>
      <c r="B115" s="29"/>
      <c r="C115" s="29"/>
      <c r="D115" s="29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</row>
    <row r="116" ht="12.75" customHeight="1">
      <c r="A116" s="28"/>
      <c r="B116" s="29"/>
      <c r="C116" s="29"/>
      <c r="D116" s="29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</row>
    <row r="117" ht="12.75" customHeight="1">
      <c r="A117" s="28"/>
      <c r="B117" s="29"/>
      <c r="C117" s="29"/>
      <c r="D117" s="29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</row>
    <row r="118" ht="12.75" customHeight="1">
      <c r="A118" s="28"/>
      <c r="B118" s="29"/>
      <c r="C118" s="29"/>
      <c r="D118" s="29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</row>
    <row r="119" ht="12.75" customHeight="1">
      <c r="A119" s="28"/>
      <c r="B119" s="29"/>
      <c r="C119" s="29"/>
      <c r="D119" s="29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</row>
    <row r="120" ht="12.75" customHeight="1">
      <c r="A120" s="28"/>
      <c r="B120" s="29"/>
      <c r="C120" s="29"/>
      <c r="D120" s="29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</row>
    <row r="121" ht="12.75" customHeight="1">
      <c r="A121" s="28"/>
      <c r="B121" s="29"/>
      <c r="C121" s="29"/>
      <c r="D121" s="29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</row>
    <row r="122" ht="12.75" customHeight="1">
      <c r="A122" s="28"/>
      <c r="B122" s="29"/>
      <c r="C122" s="29"/>
      <c r="D122" s="29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</row>
    <row r="123" ht="12.75" customHeight="1">
      <c r="A123" s="28"/>
      <c r="B123" s="29"/>
      <c r="C123" s="29"/>
      <c r="D123" s="29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</row>
    <row r="124" ht="12.75" customHeight="1">
      <c r="A124" s="28"/>
      <c r="B124" s="29"/>
      <c r="C124" s="29"/>
      <c r="D124" s="29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</row>
    <row r="125" ht="12.75" customHeight="1">
      <c r="A125" s="28"/>
      <c r="B125" s="29"/>
      <c r="C125" s="29"/>
      <c r="D125" s="29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</row>
    <row r="126" ht="12.75" customHeight="1">
      <c r="A126" s="28"/>
      <c r="B126" s="29"/>
      <c r="C126" s="29"/>
      <c r="D126" s="29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</row>
    <row r="127" ht="12.75" customHeight="1">
      <c r="A127" s="28"/>
      <c r="B127" s="29"/>
      <c r="C127" s="29"/>
      <c r="D127" s="29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</row>
    <row r="128" ht="12.75" customHeight="1">
      <c r="A128" s="28"/>
      <c r="B128" s="29"/>
      <c r="C128" s="29"/>
      <c r="D128" s="29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</row>
    <row r="129" ht="12.75" customHeight="1">
      <c r="A129" s="28"/>
      <c r="B129" s="29"/>
      <c r="C129" s="29"/>
      <c r="D129" s="29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</row>
    <row r="130" ht="12.75" customHeight="1">
      <c r="A130" s="28"/>
      <c r="B130" s="29"/>
      <c r="C130" s="29"/>
      <c r="D130" s="29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</row>
    <row r="131" ht="12.75" customHeight="1">
      <c r="A131" s="28"/>
      <c r="B131" s="29"/>
      <c r="C131" s="29"/>
      <c r="D131" s="29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</row>
    <row r="132" ht="12.75" customHeight="1">
      <c r="A132" s="28"/>
      <c r="B132" s="29"/>
      <c r="C132" s="29"/>
      <c r="D132" s="29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</row>
    <row r="133" ht="12.75" customHeight="1">
      <c r="A133" s="28"/>
      <c r="B133" s="29"/>
      <c r="C133" s="29"/>
      <c r="D133" s="29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</row>
    <row r="134" ht="12.75" customHeight="1">
      <c r="A134" s="28"/>
      <c r="B134" s="29"/>
      <c r="C134" s="29"/>
      <c r="D134" s="29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</row>
    <row r="135" ht="12.75" customHeight="1">
      <c r="A135" s="28"/>
      <c r="B135" s="29"/>
      <c r="C135" s="29"/>
      <c r="D135" s="29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</row>
    <row r="136" ht="12.75" customHeight="1">
      <c r="A136" s="28"/>
      <c r="B136" s="29"/>
      <c r="C136" s="29"/>
      <c r="D136" s="29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</row>
    <row r="137" ht="12.75" customHeight="1">
      <c r="A137" s="28"/>
      <c r="B137" s="29"/>
      <c r="C137" s="29"/>
      <c r="D137" s="29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</row>
    <row r="138" ht="12.75" customHeight="1">
      <c r="A138" s="28"/>
      <c r="B138" s="29"/>
      <c r="C138" s="29"/>
      <c r="D138" s="29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</row>
    <row r="139" ht="12.75" customHeight="1">
      <c r="A139" s="28"/>
      <c r="B139" s="29"/>
      <c r="C139" s="29"/>
      <c r="D139" s="29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</row>
    <row r="140" ht="12.75" customHeight="1">
      <c r="A140" s="28"/>
      <c r="B140" s="29"/>
      <c r="C140" s="29"/>
      <c r="D140" s="29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</row>
    <row r="141" ht="12.75" customHeight="1">
      <c r="A141" s="28"/>
      <c r="B141" s="29"/>
      <c r="C141" s="29"/>
      <c r="D141" s="29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</row>
    <row r="142" ht="12.75" customHeight="1">
      <c r="A142" s="28"/>
      <c r="B142" s="29"/>
      <c r="C142" s="29"/>
      <c r="D142" s="29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</row>
    <row r="143" ht="12.75" customHeight="1">
      <c r="A143" s="28"/>
      <c r="B143" s="29"/>
      <c r="C143" s="29"/>
      <c r="D143" s="29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</row>
    <row r="144" ht="12.75" customHeight="1">
      <c r="A144" s="28"/>
      <c r="B144" s="29"/>
      <c r="C144" s="29"/>
      <c r="D144" s="29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</row>
    <row r="145" ht="12.75" customHeight="1">
      <c r="A145" s="28"/>
      <c r="B145" s="29"/>
      <c r="C145" s="29"/>
      <c r="D145" s="29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</row>
    <row r="146" ht="12.75" customHeight="1">
      <c r="A146" s="28"/>
      <c r="B146" s="29"/>
      <c r="C146" s="29"/>
      <c r="D146" s="29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</row>
    <row r="147" ht="12.75" customHeight="1">
      <c r="A147" s="28"/>
      <c r="B147" s="29"/>
      <c r="C147" s="29"/>
      <c r="D147" s="29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</row>
    <row r="148" ht="12.75" customHeight="1">
      <c r="A148" s="28"/>
      <c r="B148" s="29"/>
      <c r="C148" s="29"/>
      <c r="D148" s="29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</row>
    <row r="149" ht="12.75" customHeight="1">
      <c r="A149" s="28"/>
      <c r="B149" s="29"/>
      <c r="C149" s="29"/>
      <c r="D149" s="29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</row>
    <row r="150" ht="12.75" customHeight="1">
      <c r="A150" s="28"/>
      <c r="B150" s="29"/>
      <c r="C150" s="29"/>
      <c r="D150" s="29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</row>
    <row r="151" ht="12.75" customHeight="1">
      <c r="A151" s="28"/>
      <c r="B151" s="29"/>
      <c r="C151" s="29"/>
      <c r="D151" s="29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</row>
    <row r="152" ht="12.75" customHeight="1">
      <c r="A152" s="28"/>
      <c r="B152" s="29"/>
      <c r="C152" s="29"/>
      <c r="D152" s="29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</row>
    <row r="153" ht="12.75" customHeight="1">
      <c r="A153" s="28"/>
      <c r="B153" s="29"/>
      <c r="C153" s="29"/>
      <c r="D153" s="29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</row>
    <row r="154" ht="12.75" customHeight="1">
      <c r="A154" s="28"/>
      <c r="B154" s="29"/>
      <c r="C154" s="29"/>
      <c r="D154" s="29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</row>
    <row r="155" ht="12.75" customHeight="1">
      <c r="A155" s="28"/>
      <c r="B155" s="29"/>
      <c r="C155" s="29"/>
      <c r="D155" s="29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</row>
    <row r="156" ht="12.75" customHeight="1">
      <c r="A156" s="28"/>
      <c r="B156" s="29"/>
      <c r="C156" s="29"/>
      <c r="D156" s="29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</row>
    <row r="157" ht="12.75" customHeight="1">
      <c r="A157" s="28"/>
      <c r="B157" s="29"/>
      <c r="C157" s="29"/>
      <c r="D157" s="29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</row>
    <row r="158" ht="12.75" customHeight="1">
      <c r="A158" s="28"/>
      <c r="B158" s="29"/>
      <c r="C158" s="29"/>
      <c r="D158" s="29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</row>
    <row r="159" ht="12.75" customHeight="1">
      <c r="A159" s="28"/>
      <c r="B159" s="29"/>
      <c r="C159" s="29"/>
      <c r="D159" s="29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</row>
    <row r="160" ht="12.75" customHeight="1">
      <c r="A160" s="28"/>
      <c r="B160" s="29"/>
      <c r="C160" s="29"/>
      <c r="D160" s="29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</row>
    <row r="161" ht="12.75" customHeight="1">
      <c r="A161" s="28"/>
      <c r="B161" s="29"/>
      <c r="C161" s="29"/>
      <c r="D161" s="29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</row>
    <row r="162" ht="12.75" customHeight="1">
      <c r="A162" s="28"/>
      <c r="B162" s="29"/>
      <c r="C162" s="29"/>
      <c r="D162" s="29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</row>
    <row r="163" ht="12.75" customHeight="1">
      <c r="A163" s="28"/>
      <c r="B163" s="29"/>
      <c r="C163" s="29"/>
      <c r="D163" s="29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</row>
    <row r="164" ht="12.75" customHeight="1">
      <c r="A164" s="28"/>
      <c r="B164" s="29"/>
      <c r="C164" s="29"/>
      <c r="D164" s="29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</row>
    <row r="165" ht="12.75" customHeight="1">
      <c r="A165" s="28"/>
      <c r="B165" s="29"/>
      <c r="C165" s="29"/>
      <c r="D165" s="29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</row>
    <row r="166" ht="12.75" customHeight="1">
      <c r="A166" s="28"/>
      <c r="B166" s="29"/>
      <c r="C166" s="29"/>
      <c r="D166" s="29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</row>
    <row r="167" ht="12.75" customHeight="1">
      <c r="A167" s="28"/>
      <c r="B167" s="29"/>
      <c r="C167" s="29"/>
      <c r="D167" s="29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</row>
    <row r="168" ht="12.75" customHeight="1">
      <c r="A168" s="28"/>
      <c r="B168" s="29"/>
      <c r="C168" s="29"/>
      <c r="D168" s="29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</row>
    <row r="169" ht="12.75" customHeight="1">
      <c r="A169" s="28"/>
      <c r="B169" s="29"/>
      <c r="C169" s="29"/>
      <c r="D169" s="29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</row>
    <row r="170" ht="12.75" customHeight="1">
      <c r="A170" s="28"/>
      <c r="B170" s="29"/>
      <c r="C170" s="29"/>
      <c r="D170" s="29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</row>
    <row r="171" ht="12.75" customHeight="1">
      <c r="A171" s="28"/>
      <c r="B171" s="29"/>
      <c r="C171" s="29"/>
      <c r="D171" s="29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</row>
    <row r="172" ht="12.75" customHeight="1">
      <c r="A172" s="28"/>
      <c r="B172" s="46"/>
      <c r="C172" s="46"/>
      <c r="D172" s="29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</row>
    <row r="173" ht="12.75" customHeight="1">
      <c r="A173" s="28"/>
      <c r="B173" s="46"/>
      <c r="C173" s="46"/>
      <c r="D173" s="29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</row>
    <row r="174" ht="12.75" customHeight="1">
      <c r="A174" s="28"/>
      <c r="B174" s="46"/>
      <c r="C174" s="46"/>
      <c r="D174" s="29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</row>
    <row r="175" ht="12.75" customHeight="1">
      <c r="A175" s="28"/>
      <c r="B175" s="46"/>
      <c r="C175" s="46"/>
      <c r="D175" s="29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</row>
    <row r="176" ht="12.75" customHeight="1">
      <c r="A176" s="28"/>
      <c r="B176" s="46"/>
      <c r="C176" s="46"/>
      <c r="D176" s="29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</row>
    <row r="177" ht="12.75" customHeight="1">
      <c r="A177" s="28"/>
      <c r="B177" s="46"/>
      <c r="C177" s="46"/>
      <c r="D177" s="29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</row>
    <row r="178" ht="12.75" customHeight="1">
      <c r="A178" s="28"/>
      <c r="B178" s="46"/>
      <c r="C178" s="46"/>
      <c r="D178" s="29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</row>
    <row r="179" ht="12.75" customHeight="1">
      <c r="A179" s="28"/>
      <c r="B179" s="46"/>
      <c r="C179" s="46"/>
      <c r="D179" s="29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</row>
    <row r="180" ht="12.75" customHeight="1">
      <c r="A180" s="28"/>
      <c r="B180" s="46"/>
      <c r="C180" s="46"/>
      <c r="D180" s="29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</row>
    <row r="181" ht="12.75" customHeight="1">
      <c r="A181" s="28"/>
      <c r="B181" s="46"/>
      <c r="C181" s="46"/>
      <c r="D181" s="29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</row>
    <row r="182" ht="12.75" customHeight="1">
      <c r="A182" s="28"/>
      <c r="B182" s="46"/>
      <c r="C182" s="46"/>
      <c r="D182" s="29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</row>
    <row r="183" ht="12.75" customHeight="1">
      <c r="A183" s="28"/>
      <c r="B183" s="46"/>
      <c r="C183" s="46"/>
      <c r="D183" s="29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</row>
    <row r="184" ht="12.75" customHeight="1">
      <c r="A184" s="28"/>
      <c r="B184" s="46"/>
      <c r="C184" s="46"/>
      <c r="D184" s="29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</row>
    <row r="185" ht="12.75" customHeight="1">
      <c r="A185" s="28"/>
      <c r="B185" s="46"/>
      <c r="C185" s="46"/>
      <c r="D185" s="29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</row>
    <row r="186" ht="12.75" customHeight="1">
      <c r="A186" s="28"/>
      <c r="B186" s="46"/>
      <c r="C186" s="46"/>
      <c r="D186" s="29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</row>
    <row r="187" ht="12.75" customHeight="1">
      <c r="A187" s="28"/>
      <c r="B187" s="46"/>
      <c r="C187" s="46"/>
      <c r="D187" s="29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</row>
    <row r="188" ht="12.75" customHeight="1">
      <c r="A188" s="28"/>
      <c r="B188" s="46"/>
      <c r="C188" s="46"/>
      <c r="D188" s="29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</row>
    <row r="189" ht="12.75" customHeight="1">
      <c r="A189" s="28"/>
      <c r="B189" s="46"/>
      <c r="C189" s="46"/>
      <c r="D189" s="29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</row>
    <row r="190" ht="12.75" customHeight="1">
      <c r="A190" s="28"/>
      <c r="B190" s="46"/>
      <c r="C190" s="46"/>
      <c r="D190" s="29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</row>
    <row r="191" ht="12.75" customHeight="1">
      <c r="A191" s="28"/>
      <c r="B191" s="46"/>
      <c r="C191" s="46"/>
      <c r="D191" s="29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</row>
    <row r="192" ht="12.75" customHeight="1">
      <c r="A192" s="28"/>
      <c r="B192" s="46"/>
      <c r="C192" s="46"/>
      <c r="D192" s="29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</row>
    <row r="193" ht="12.75" customHeight="1">
      <c r="A193" s="28"/>
      <c r="B193" s="46"/>
      <c r="C193" s="46"/>
      <c r="D193" s="29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</row>
    <row r="194" ht="12.75" customHeight="1">
      <c r="A194" s="28"/>
      <c r="B194" s="46"/>
      <c r="C194" s="46"/>
      <c r="D194" s="29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</row>
    <row r="195" ht="12.75" customHeight="1">
      <c r="A195" s="28"/>
      <c r="B195" s="46"/>
      <c r="C195" s="46"/>
      <c r="D195" s="29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</row>
    <row r="196" ht="12.75" customHeight="1">
      <c r="A196" s="28"/>
      <c r="B196" s="46"/>
      <c r="C196" s="46"/>
      <c r="D196" s="29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</row>
    <row r="197" ht="12.75" customHeight="1">
      <c r="A197" s="28"/>
      <c r="B197" s="46"/>
      <c r="C197" s="46"/>
      <c r="D197" s="29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</row>
    <row r="198" ht="12.75" customHeight="1">
      <c r="A198" s="28"/>
      <c r="B198" s="46"/>
      <c r="C198" s="46"/>
      <c r="D198" s="29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</row>
    <row r="199" ht="12.75" customHeight="1">
      <c r="A199" s="28"/>
      <c r="B199" s="46"/>
      <c r="C199" s="46"/>
      <c r="D199" s="29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</row>
    <row r="200" ht="12.75" customHeight="1">
      <c r="A200" s="28"/>
      <c r="B200" s="46"/>
      <c r="C200" s="46"/>
      <c r="D200" s="29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</row>
    <row r="201" ht="12.75" customHeight="1">
      <c r="A201" s="28"/>
      <c r="B201" s="46"/>
      <c r="C201" s="46"/>
      <c r="D201" s="29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</row>
    <row r="202" ht="12.75" customHeight="1">
      <c r="A202" s="28"/>
      <c r="B202" s="46"/>
      <c r="C202" s="46"/>
      <c r="D202" s="29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</row>
    <row r="203" ht="12.75" customHeight="1">
      <c r="A203" s="28"/>
      <c r="B203" s="46"/>
      <c r="C203" s="46"/>
      <c r="D203" s="29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</row>
    <row r="204" ht="12.75" customHeight="1">
      <c r="A204" s="28"/>
      <c r="B204" s="46"/>
      <c r="C204" s="46"/>
      <c r="D204" s="29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</row>
    <row r="205" ht="12.75" customHeight="1">
      <c r="A205" s="28"/>
      <c r="B205" s="46"/>
      <c r="C205" s="46"/>
      <c r="D205" s="29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</row>
    <row r="206" ht="12.75" customHeight="1">
      <c r="A206" s="28"/>
      <c r="B206" s="46"/>
      <c r="C206" s="46"/>
      <c r="D206" s="29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</row>
    <row r="207" ht="12.75" customHeight="1">
      <c r="A207" s="28"/>
      <c r="B207" s="46"/>
      <c r="C207" s="46"/>
      <c r="D207" s="29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</row>
    <row r="208" ht="12.75" customHeight="1">
      <c r="A208" s="28"/>
      <c r="B208" s="46"/>
      <c r="C208" s="46"/>
      <c r="D208" s="29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</row>
    <row r="209" ht="12.75" customHeight="1">
      <c r="A209" s="28"/>
      <c r="B209" s="46"/>
      <c r="C209" s="46"/>
      <c r="D209" s="29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</row>
    <row r="210" ht="12.75" customHeight="1">
      <c r="A210" s="28"/>
      <c r="B210" s="46"/>
      <c r="C210" s="46"/>
      <c r="D210" s="29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</row>
    <row r="211" ht="12.75" customHeight="1">
      <c r="A211" s="28"/>
      <c r="B211" s="46"/>
      <c r="C211" s="46"/>
      <c r="D211" s="29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</row>
    <row r="212" ht="12.75" customHeight="1">
      <c r="A212" s="28"/>
      <c r="B212" s="46"/>
      <c r="C212" s="46"/>
      <c r="D212" s="29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</row>
    <row r="213" ht="12.75" customHeight="1">
      <c r="A213" s="28"/>
      <c r="B213" s="46"/>
      <c r="C213" s="46"/>
      <c r="D213" s="29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</row>
    <row r="214" ht="12.75" customHeight="1">
      <c r="A214" s="28"/>
      <c r="B214" s="46"/>
      <c r="C214" s="46"/>
      <c r="D214" s="29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</row>
    <row r="215" ht="12.75" customHeight="1">
      <c r="A215" s="28"/>
      <c r="B215" s="46"/>
      <c r="C215" s="46"/>
      <c r="D215" s="29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</row>
    <row r="216" ht="12.75" customHeight="1">
      <c r="A216" s="28"/>
      <c r="B216" s="46"/>
      <c r="C216" s="46"/>
      <c r="D216" s="29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</row>
    <row r="217" ht="12.75" customHeight="1">
      <c r="A217" s="28"/>
      <c r="B217" s="46"/>
      <c r="C217" s="46"/>
      <c r="D217" s="29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</row>
    <row r="218" ht="12.75" customHeight="1">
      <c r="A218" s="28"/>
      <c r="B218" s="46"/>
      <c r="C218" s="46"/>
      <c r="D218" s="29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</row>
    <row r="219" ht="12.75" customHeight="1">
      <c r="A219" s="28"/>
      <c r="B219" s="46"/>
      <c r="C219" s="46"/>
      <c r="D219" s="29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</row>
    <row r="220" ht="12.75" customHeight="1">
      <c r="A220" s="28"/>
      <c r="B220" s="46"/>
      <c r="C220" s="46"/>
      <c r="D220" s="29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</row>
    <row r="221" ht="12.75" customHeight="1">
      <c r="A221" s="28"/>
      <c r="B221" s="46"/>
      <c r="C221" s="46"/>
      <c r="D221" s="29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</row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4">
    <mergeCell ref="A1:D6"/>
    <mergeCell ref="A7:D7"/>
    <mergeCell ref="A8:A9"/>
    <mergeCell ref="B8:B9"/>
    <mergeCell ref="C8:C9"/>
    <mergeCell ref="D8:D9"/>
    <mergeCell ref="A10:D10"/>
    <mergeCell ref="A13:C13"/>
    <mergeCell ref="A15:D15"/>
    <mergeCell ref="A17:C17"/>
    <mergeCell ref="A19:D19"/>
    <mergeCell ref="A33:C33"/>
    <mergeCell ref="A35:D35"/>
    <mergeCell ref="A44:D44"/>
    <mergeCell ref="A76:C76"/>
    <mergeCell ref="A78:D78"/>
    <mergeCell ref="A82:C82"/>
    <mergeCell ref="A42:C42"/>
    <mergeCell ref="A60:C60"/>
    <mergeCell ref="A62:D62"/>
    <mergeCell ref="A64:C64"/>
    <mergeCell ref="A66:D66"/>
    <mergeCell ref="A72:C72"/>
    <mergeCell ref="A74:D74"/>
  </mergeCells>
  <printOptions/>
  <pageMargins bottom="0.75" footer="0.0" header="0.0" left="0.7" right="0.7" top="0.75"/>
  <pageSetup paperSize="9"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