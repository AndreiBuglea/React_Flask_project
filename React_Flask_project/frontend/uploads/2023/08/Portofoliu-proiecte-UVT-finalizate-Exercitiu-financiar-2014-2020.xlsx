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G:\Shared drives\DAIP - UVT DAIP\SITE DAIP 2023\Portofolii proiecte\Proiecte finalizate\Editabile\"/>
    </mc:Choice>
  </mc:AlternateContent>
  <xr:revisionPtr revIDLastSave="0" documentId="13_ncr:1_{F6F5EC59-33FE-4791-903B-D2C0E2D0B221}" xr6:coauthVersionLast="47" xr6:coauthVersionMax="47" xr10:uidLastSave="{00000000-0000-0000-0000-000000000000}"/>
  <bookViews>
    <workbookView xWindow="1470" yWindow="1470" windowWidth="14220" windowHeight="11295" xr2:uid="{00000000-000D-0000-FFFF-FFFF00000000}"/>
  </bookViews>
  <sheets>
    <sheet name="Sheet1" sheetId="1" r:id="rId1"/>
  </sheets>
  <definedNames>
    <definedName name="_xlnm._FilterDatabase" localSheetId="0" hidden="1">Sheet1!$A$7:$E$77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Ask1wAQ3XY4VfWKgfuDbz78mjwQTK3w5RzlNWibmVs="/>
    </ext>
  </extLst>
</workbook>
</file>

<file path=xl/calcChain.xml><?xml version="1.0" encoding="utf-8"?>
<calcChain xmlns="http://schemas.openxmlformats.org/spreadsheetml/2006/main">
  <c r="E94" i="1" l="1"/>
  <c r="E28" i="1"/>
  <c r="E92" i="1"/>
  <c r="E88" i="1"/>
  <c r="E78" i="1"/>
  <c r="E73" i="1"/>
  <c r="E65" i="1"/>
  <c r="E53" i="1"/>
  <c r="E43" i="1"/>
  <c r="E13" i="1"/>
</calcChain>
</file>

<file path=xl/sharedStrings.xml><?xml version="1.0" encoding="utf-8"?>
<sst xmlns="http://schemas.openxmlformats.org/spreadsheetml/2006/main" count="182" uniqueCount="122">
  <si>
    <t>PROIECTE DAIP - gestionate în exercițiul financiar 2014-2020</t>
  </si>
  <si>
    <t>Nr. Crt.</t>
  </si>
  <si>
    <t>Denumire Proiect</t>
  </si>
  <si>
    <t>Id proiect</t>
  </si>
  <si>
    <t>Tip Proiect (POCU, POR, IPA,, POCA, ROSE, FSS, FDI, Extracurriculare, CJT, RO_HU)</t>
  </si>
  <si>
    <t>Valoarea contractată (în lei)</t>
  </si>
  <si>
    <t>Granturi POCA - Programului Operațional Capacitate Administrativă</t>
  </si>
  <si>
    <t>Servicii de consiliere juridică pentru victime ale unor abuzuri sau nereguli din administrație și justiție SIPOCA 377</t>
  </si>
  <si>
    <t>POCA</t>
  </si>
  <si>
    <t>Centru de inovare și excelență în domeniul politicilor publice de tineret</t>
  </si>
  <si>
    <t>Total proiecte POCA - Programului Operațional Capacitate Administrativă</t>
  </si>
  <si>
    <t>Granturi POCU - Programul Operațional Capital Uman</t>
  </si>
  <si>
    <t>Stimularea spiritului antreprenorial in randul tinerilor din Regiunea de Vest - Start Smart</t>
  </si>
  <si>
    <t>POCU</t>
  </si>
  <si>
    <t>Dezvoltarea abilitatilor antreprenoriale pentru doctoranzi si postdoctoranzi in domeniul stiintelor economice</t>
  </si>
  <si>
    <t>Sustinerea si Motivarea Antreprenorilor Responsabili si Talentati - SMART Start Up</t>
  </si>
  <si>
    <t>START UP BANAT</t>
  </si>
  <si>
    <t xml:space="preserve">Atelierul de antreprenori </t>
  </si>
  <si>
    <t>Program integrat de stimulare a antreprenoriatului in mediul urban din Regiunea Vest</t>
  </si>
  <si>
    <t>Fii un student pregatit pentru jobul dorit - Start Job!</t>
  </si>
  <si>
    <t>Împreună universități și angajatori. Un sistem integrat de programe educaționale inovative</t>
  </si>
  <si>
    <t>Educație antreprenorială și consiliere profesională pentru doctoranzi și cercetători postdoctorali în vederea organizării transferului de cunoaștere din domeniul științelor socio-umaniste către piața muncii (ATRiUM)</t>
  </si>
  <si>
    <t>Inserția pe piața muncii - vectorul învățământului terțiar</t>
  </si>
  <si>
    <t>Acces și echitate în universități. Demersuri antreprenoriale inovatoare pentru studenți și cadre didactice</t>
  </si>
  <si>
    <t>Start în cariera prin master didactic</t>
  </si>
  <si>
    <t>TOTAL GRANTURI POCU - Programul Operațional Capital Uman</t>
  </si>
  <si>
    <t>Granturi FDI - Fondul de Dezvoltare Instituţională</t>
  </si>
  <si>
    <t>UVT teaching &amp; learning brand - implementarea sistemului integrat de asigurare a calității procesului de învățământ din UVT</t>
  </si>
  <si>
    <t>CNFIS-FDI-2019-0408</t>
  </si>
  <si>
    <t>FDI 2019</t>
  </si>
  <si>
    <t>Bază de practică aplicativă - Universitatea de Vest din Timișoara</t>
  </si>
  <si>
    <t>CNFIS-FDI-2019-0744</t>
  </si>
  <si>
    <t>Stai în UVT: susținerea progresului studentului de-a lungul întregului program de studii universitare si finalizarea acestora, prin servicii de consiliere educațională și în carieră (StaInUVT)</t>
  </si>
  <si>
    <t>CNFIS-FDI-2019-0153</t>
  </si>
  <si>
    <t>Dezvoltare Instituţională prin Internaţionalizare pentru Toţi la Universitatea de Vest din Timişoara</t>
  </si>
  <si>
    <t>CNFIS-FDI-2019-0108</t>
  </si>
  <si>
    <t>Competențe și abilități antreprenoriale și de inovare SAS UVT</t>
  </si>
  <si>
    <t>CNFIS-FDI-2019-0177</t>
  </si>
  <si>
    <t>Cercetare de excelență in UVT prin dezvoltarea resursei umane și consolidarea centrelor de cercetare</t>
  </si>
  <si>
    <t>CNFIS-FDI-2019-0471</t>
  </si>
  <si>
    <t xml:space="preserve">UVT teaching &amp; learning brand </t>
  </si>
  <si>
    <t>CNFIS-FDI-2020-0295</t>
  </si>
  <si>
    <t>FDI 2020</t>
  </si>
  <si>
    <t>Bază instructiv-educativă și culturală pentru învățământ de calitate - Universitatea de Vest din Timișoara</t>
  </si>
  <si>
    <t>CNFIS-FDI-2020-0549</t>
  </si>
  <si>
    <t>„Crește în UVT”: crearea de oportunități pentru promovarea dezvoltării academic și sociale a studenților, prin programe de tutoring și consiliere educațională și în carieră</t>
  </si>
  <si>
    <t>CNFIS-FDI-2020-0232</t>
  </si>
  <si>
    <t>CNFIS-FDI-2020-0498</t>
  </si>
  <si>
    <t>Proiect activități antreprenoriale și de educație implementate în cadrul SAS UVT</t>
  </si>
  <si>
    <t>CNFIS-FDI-2020-0588</t>
  </si>
  <si>
    <t>Cercetare de excelență prin sprijinul cercetătorilor din UVT</t>
  </si>
  <si>
    <t>CNFIS-FDI-2020-0253</t>
  </si>
  <si>
    <t>Total proiecte FDI - Fondul de Dezvoltare Instituţională</t>
  </si>
  <si>
    <t>Granturi FSS - Fondului pentru finanțarea situațiilor speciale</t>
  </si>
  <si>
    <t>Suport pentru programe de studii de înaltă calitate, utilizând instrumente ITC</t>
  </si>
  <si>
    <t xml:space="preserve">Cererea de acțiune 4 </t>
  </si>
  <si>
    <t>FSS 2019</t>
  </si>
  <si>
    <t>SECURITY CHALLENGES IN THE BALKANS</t>
  </si>
  <si>
    <t xml:space="preserve">Cererea de acțiune 1 </t>
  </si>
  <si>
    <t>Educaţie şi comunitate</t>
  </si>
  <si>
    <t>Cererea de acțiune 2</t>
  </si>
  <si>
    <t>Excelență în educație</t>
  </si>
  <si>
    <t>Cererea de acțiune 3</t>
  </si>
  <si>
    <t xml:space="preserve">Universitatea de Vest din Timișoara în lume
</t>
  </si>
  <si>
    <t>Cererea de acțiune 5</t>
  </si>
  <si>
    <t>Liberty Movement</t>
  </si>
  <si>
    <t>Cererea de proiect 1</t>
  </si>
  <si>
    <t>Dezbateri interculturale. Strategii formative privind dezvoltarea învățământului românesc</t>
  </si>
  <si>
    <t>Cererea de proiect 2</t>
  </si>
  <si>
    <t>Total proiecte FSS  Fondului pentru finanțarea situațiilor speciale</t>
  </si>
  <si>
    <t>Proiecte extracurriculare</t>
  </si>
  <si>
    <t>Concurs national de procese simulate: drept constitutional (National Moot Court Competition)</t>
  </si>
  <si>
    <t>Ordin 3111 - implementare 2019</t>
  </si>
  <si>
    <t>Extracurriculare</t>
  </si>
  <si>
    <t>Organizare ONIS 2019-Olimpiada Nationala de Informatica pentru Studenti la Universitatea de Vest din Timisoara</t>
  </si>
  <si>
    <t xml:space="preserve">Cupa Ecoturuvt-Competitie sportiva studenteasca de activitati sportive outdoor si educatie ecologica </t>
  </si>
  <si>
    <t>Concurs national de fizica "Constantin Salceanu"</t>
  </si>
  <si>
    <t>ITFEST 2019</t>
  </si>
  <si>
    <t>Cupa Universitaria-Competitie sportiva studenteasca</t>
  </si>
  <si>
    <t>West Summer University</t>
  </si>
  <si>
    <t>Proiect Mobilitati</t>
  </si>
  <si>
    <t xml:space="preserve">Proiect Exchange </t>
  </si>
  <si>
    <t>Total proiecte extracurriculare</t>
  </si>
  <si>
    <t xml:space="preserve">Proiecte finanțate de CJT - Consiliul Județean Timiș </t>
  </si>
  <si>
    <t>Cultura si educatia azi</t>
  </si>
  <si>
    <t>Proiecte culturale CJT</t>
  </si>
  <si>
    <t>CJT 2019</t>
  </si>
  <si>
    <t>Dezvoltarea culturii artistice</t>
  </si>
  <si>
    <t>Revolutia culturala web 2.0 si implicatiile acesteia asupra invatamintului stem</t>
  </si>
  <si>
    <t>Informatica-motor de dezvoltare locala si regionala in Timisoara si Banat</t>
  </si>
  <si>
    <t>Universitatea muzicala-festivalul UNIVIBES-editia a III a &amp; Festivalul International Timisoara Muzicala si Academica –editia XXV-a</t>
  </si>
  <si>
    <t xml:space="preserve">Total proiecte finanțate de CJT - Consiliul Județean Timiș </t>
  </si>
  <si>
    <t>Granturi Ro-Se - Interreg Romania-Serbia</t>
  </si>
  <si>
    <t>Educational and Networking Tools on development of Authentic Performance for professional integration PAN</t>
  </si>
  <si>
    <t>eMS RORS 215</t>
  </si>
  <si>
    <t>Romania-Serbia</t>
  </si>
  <si>
    <t>ROmania Serbia NETwork for assessing and disseminating the impact of copper mining activities on water quality in the cross-border area</t>
  </si>
  <si>
    <t>eMS RORS 337</t>
  </si>
  <si>
    <t>Total proiecte finanțate prin Ro-Se - Interreg Romania-Serbia</t>
  </si>
  <si>
    <t>Proiecte ROSE - Schema de Granturi pentru Universități</t>
  </si>
  <si>
    <t>Consilierea în carieră de calitate – cheia pentru combaterea abandonului universitar - Fac. Stiinte Politice</t>
  </si>
  <si>
    <t>AG 264/SGU/NC/II - 25.11.2019</t>
  </si>
  <si>
    <t>ROSE</t>
  </si>
  <si>
    <t>Consilierea în carieră de calitate - cheia pentru combaterea abandonului universitar - Fac. Ed. Fizica si Sport</t>
  </si>
  <si>
    <t>AG 226/SGU/NC/II - 18.09.2019</t>
  </si>
  <si>
    <t>Consilierea în carieră de calitate – cheia pentru combaterea abandonului universitar - Fac. Arte si Design</t>
  </si>
  <si>
    <t>AG 181/SGU/NC/II - 11.09.2019</t>
  </si>
  <si>
    <t>Consilierea în cariera de calitate – cheia pentru combaterea abandonului universitar – CCC-CBG</t>
  </si>
  <si>
    <t>AG 169/SGU/NC/II - 10.09.2019</t>
  </si>
  <si>
    <t>Servicii socio-educaționale de Tutorat, Adaptare, Remediere și Consiliere oferite de FMI – cheia pentru combaterea abandonului universitar (STARC - FMI)</t>
  </si>
  <si>
    <t>AG 170/SGU/NC/II - 10.09.2019</t>
  </si>
  <si>
    <t>Servicii socio-educative oferite de FLIT pentru prevenirea abandonului studenților(SSE-FLIT)</t>
  </si>
  <si>
    <t>AG264</t>
  </si>
  <si>
    <t>Consilierea în carieră de calitate – cheia pentru combaterea abandonului universitar - Fac. Drept</t>
  </si>
  <si>
    <t>AG 225/SGU/NC/II - 18.09.2019</t>
  </si>
  <si>
    <t>Total proiecte ROSE - Schema de Granturi pentru Universități</t>
  </si>
  <si>
    <t>Proiecte Ro-Hu - PROGRAMUL INTERREG V-A ROMÂNIA-UNGARIA</t>
  </si>
  <si>
    <t>Healthy traditions for Next Generation TSH</t>
  </si>
  <si>
    <t>eMS RORS 285</t>
  </si>
  <si>
    <t>RO-HU</t>
  </si>
  <si>
    <t>Total proiecte Ro-Hu - PROGRAMUL INTERREG V-A ROMÂNIA-UNGARIA</t>
  </si>
  <si>
    <t>Total sume finanțate de către  UVT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</si>
</sst>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scheme val="minor"/>
    </font>
    <font>
      <sz val="10"/>
      <color theme="1"/>
      <name val="Calibri"/>
    </font>
    <font>
      <b/>
      <sz val="10"/>
      <color theme="1"/>
      <name val="Calibri"/>
    </font>
    <font>
      <sz val="11"/>
      <name val="Arial"/>
    </font>
    <font>
      <b/>
      <sz val="10"/>
      <color rgb="FFFF0000"/>
      <name val="Calibri"/>
    </font>
    <font>
      <sz val="10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0"/>
      <color rgb="FFFF0000"/>
      <name val="Calibri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" fontId="4" fillId="3" borderId="4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center" wrapText="1"/>
    </xf>
    <xf numFmtId="4" fontId="1" fillId="0" borderId="3" xfId="0" applyNumberFormat="1" applyFont="1" applyBorder="1" applyAlignment="1">
      <alignment horizontal="center" wrapText="1"/>
    </xf>
    <xf numFmtId="0" fontId="7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4" fontId="4" fillId="0" borderId="3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vertical="top" wrapText="1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4" fontId="1" fillId="0" borderId="6" xfId="0" applyNumberFormat="1" applyFont="1" applyBorder="1" applyAlignment="1">
      <alignment horizontal="center" vertical="center" wrapText="1"/>
    </xf>
    <xf numFmtId="4" fontId="4" fillId="3" borderId="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4" fontId="4" fillId="0" borderId="3" xfId="0" applyNumberFormat="1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4" fontId="4" fillId="0" borderId="6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" fontId="2" fillId="0" borderId="7" xfId="0" applyNumberFormat="1" applyFont="1" applyBorder="1" applyAlignment="1">
      <alignment horizontal="center" vertical="center" wrapText="1"/>
    </xf>
    <xf numFmtId="4" fontId="2" fillId="0" borderId="8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201025" cy="9429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tabSelected="1" topLeftCell="B58" workbookViewId="0">
      <selection activeCell="E95" sqref="E95"/>
    </sheetView>
  </sheetViews>
  <sheetFormatPr defaultColWidth="12.625" defaultRowHeight="15" customHeight="1" x14ac:dyDescent="0.2"/>
  <cols>
    <col min="1" max="1" width="3.625" customWidth="1"/>
    <col min="2" max="2" width="60.375" customWidth="1"/>
    <col min="3" max="3" width="16.5" customWidth="1"/>
    <col min="4" max="4" width="15.25" customWidth="1"/>
    <col min="5" max="5" width="13.625" customWidth="1"/>
  </cols>
  <sheetData>
    <row r="1" spans="1:23" ht="14.25" customHeight="1" x14ac:dyDescent="0.2">
      <c r="A1" s="54"/>
      <c r="B1" s="55"/>
      <c r="C1" s="55"/>
      <c r="D1" s="55"/>
      <c r="E1" s="5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4.25" customHeight="1" x14ac:dyDescent="0.2">
      <c r="A2" s="55"/>
      <c r="B2" s="55"/>
      <c r="C2" s="55"/>
      <c r="D2" s="55"/>
      <c r="E2" s="5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4.25" customHeight="1" x14ac:dyDescent="0.2">
      <c r="A3" s="55"/>
      <c r="B3" s="55"/>
      <c r="C3" s="55"/>
      <c r="D3" s="55"/>
      <c r="E3" s="5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4.25" customHeight="1" x14ac:dyDescent="0.2">
      <c r="A4" s="55"/>
      <c r="B4" s="55"/>
      <c r="C4" s="55"/>
      <c r="D4" s="55"/>
      <c r="E4" s="5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4.25" customHeight="1" x14ac:dyDescent="0.2">
      <c r="A5" s="55"/>
      <c r="B5" s="55"/>
      <c r="C5" s="55"/>
      <c r="D5" s="55"/>
      <c r="E5" s="5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4.25" customHeight="1" x14ac:dyDescent="0.2">
      <c r="A6" s="55"/>
      <c r="B6" s="55"/>
      <c r="C6" s="55"/>
      <c r="D6" s="55"/>
      <c r="E6" s="5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4.25" customHeight="1" x14ac:dyDescent="0.2">
      <c r="A7" s="56" t="s">
        <v>0</v>
      </c>
      <c r="B7" s="57"/>
      <c r="C7" s="57"/>
      <c r="D7" s="57"/>
      <c r="E7" s="5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63.75" x14ac:dyDescent="0.2">
      <c r="A8" s="2" t="s">
        <v>1</v>
      </c>
      <c r="B8" s="2" t="s">
        <v>2</v>
      </c>
      <c r="C8" s="2" t="s">
        <v>3</v>
      </c>
      <c r="D8" s="3" t="s">
        <v>4</v>
      </c>
      <c r="E8" s="2" t="s">
        <v>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4.25" customHeight="1" x14ac:dyDescent="0.2">
      <c r="A9" s="4"/>
      <c r="B9" s="5"/>
      <c r="C9" s="2"/>
      <c r="D9" s="6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4.25" customHeight="1" x14ac:dyDescent="0.2">
      <c r="A10" s="59" t="s">
        <v>6</v>
      </c>
      <c r="B10" s="57"/>
      <c r="C10" s="57"/>
      <c r="D10" s="57"/>
      <c r="E10" s="58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5.5" x14ac:dyDescent="0.2">
      <c r="A11" s="7">
        <v>1</v>
      </c>
      <c r="B11" s="8" t="s">
        <v>7</v>
      </c>
      <c r="C11" s="9">
        <v>111830</v>
      </c>
      <c r="D11" s="10" t="s">
        <v>8</v>
      </c>
      <c r="E11" s="11">
        <v>554208.57999999996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4.25" x14ac:dyDescent="0.2">
      <c r="A12" s="12">
        <v>2</v>
      </c>
      <c r="B12" s="8" t="s">
        <v>9</v>
      </c>
      <c r="C12" s="9">
        <v>112332</v>
      </c>
      <c r="D12" s="10" t="s">
        <v>8</v>
      </c>
      <c r="E12" s="11">
        <v>283452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4.25" customHeight="1" x14ac:dyDescent="0.2">
      <c r="A13" s="59" t="s">
        <v>10</v>
      </c>
      <c r="B13" s="57"/>
      <c r="C13" s="57"/>
      <c r="D13" s="58"/>
      <c r="E13" s="13">
        <f>SUM(E11:E12)</f>
        <v>837660.58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4.25" customHeight="1" x14ac:dyDescent="0.2">
      <c r="A14" s="14"/>
      <c r="B14" s="15"/>
      <c r="C14" s="16"/>
      <c r="D14" s="14"/>
      <c r="E14" s="1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4.25" customHeight="1" x14ac:dyDescent="0.2">
      <c r="A15" s="59" t="s">
        <v>11</v>
      </c>
      <c r="B15" s="57"/>
      <c r="C15" s="57"/>
      <c r="D15" s="57"/>
      <c r="E15" s="5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5.5" x14ac:dyDescent="0.2">
      <c r="A16" s="7">
        <v>1</v>
      </c>
      <c r="B16" s="8" t="s">
        <v>12</v>
      </c>
      <c r="C16" s="9">
        <v>104255</v>
      </c>
      <c r="D16" s="10" t="s">
        <v>13</v>
      </c>
      <c r="E16" s="11">
        <v>8082044.0499999998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5" ht="25.5" x14ac:dyDescent="0.2">
      <c r="A17" s="7">
        <v>2</v>
      </c>
      <c r="B17" s="8" t="s">
        <v>14</v>
      </c>
      <c r="C17" s="9">
        <v>125051</v>
      </c>
      <c r="D17" s="10" t="s">
        <v>13</v>
      </c>
      <c r="E17" s="11">
        <v>6874227.9100000001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5" ht="14.25" x14ac:dyDescent="0.2">
      <c r="A18" s="7">
        <v>3</v>
      </c>
      <c r="B18" s="8" t="s">
        <v>15</v>
      </c>
      <c r="C18" s="9">
        <v>105482</v>
      </c>
      <c r="D18" s="10" t="s">
        <v>13</v>
      </c>
      <c r="E18" s="11">
        <v>11704541.41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5" ht="14.25" customHeight="1" x14ac:dyDescent="0.2">
      <c r="A19" s="7">
        <v>4</v>
      </c>
      <c r="B19" s="8" t="s">
        <v>16</v>
      </c>
      <c r="C19" s="9">
        <v>103886</v>
      </c>
      <c r="D19" s="10" t="s">
        <v>13</v>
      </c>
      <c r="E19" s="11">
        <v>8383918.3300000001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5" ht="14.25" customHeight="1" x14ac:dyDescent="0.2">
      <c r="A20" s="7">
        <v>5</v>
      </c>
      <c r="B20" s="8" t="s">
        <v>17</v>
      </c>
      <c r="C20" s="9">
        <v>106050</v>
      </c>
      <c r="D20" s="10" t="s">
        <v>13</v>
      </c>
      <c r="E20" s="11">
        <v>7943060.5099999998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5" ht="25.5" x14ac:dyDescent="0.2">
      <c r="A21" s="7">
        <v>6</v>
      </c>
      <c r="B21" s="8" t="s">
        <v>18</v>
      </c>
      <c r="C21" s="9">
        <v>105759</v>
      </c>
      <c r="D21" s="10" t="s">
        <v>13</v>
      </c>
      <c r="E21" s="11">
        <v>8137354.7599999998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5" ht="14.25" x14ac:dyDescent="0.2">
      <c r="A22" s="7">
        <v>7</v>
      </c>
      <c r="B22" s="8" t="s">
        <v>19</v>
      </c>
      <c r="C22" s="9">
        <v>107274</v>
      </c>
      <c r="D22" s="10" t="s">
        <v>13</v>
      </c>
      <c r="E22" s="11">
        <v>1832623.53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5" ht="25.5" x14ac:dyDescent="0.2">
      <c r="A23" s="7">
        <v>8</v>
      </c>
      <c r="B23" s="17" t="s">
        <v>20</v>
      </c>
      <c r="C23" s="9">
        <v>121030</v>
      </c>
      <c r="D23" s="10" t="s">
        <v>13</v>
      </c>
      <c r="E23" s="11">
        <v>4089554.39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5" ht="38.25" x14ac:dyDescent="0.2">
      <c r="A24" s="7">
        <v>9</v>
      </c>
      <c r="B24" s="8" t="s">
        <v>21</v>
      </c>
      <c r="C24" s="9">
        <v>123343</v>
      </c>
      <c r="D24" s="10" t="s">
        <v>13</v>
      </c>
      <c r="E24" s="11">
        <v>3345132.47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5" ht="14.25" x14ac:dyDescent="0.2">
      <c r="A25" s="7">
        <v>10</v>
      </c>
      <c r="B25" s="8" t="s">
        <v>22</v>
      </c>
      <c r="C25" s="9">
        <v>121221</v>
      </c>
      <c r="D25" s="10" t="s">
        <v>13</v>
      </c>
      <c r="E25" s="11">
        <v>1461316.61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5" ht="25.5" x14ac:dyDescent="0.2">
      <c r="A26" s="7">
        <v>11</v>
      </c>
      <c r="B26" s="8" t="s">
        <v>23</v>
      </c>
      <c r="C26" s="9">
        <v>124874</v>
      </c>
      <c r="D26" s="10" t="s">
        <v>13</v>
      </c>
      <c r="E26" s="11">
        <v>4153779.59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5" x14ac:dyDescent="0.25">
      <c r="A27" s="18">
        <v>12</v>
      </c>
      <c r="B27" s="19" t="s">
        <v>24</v>
      </c>
      <c r="C27" s="20">
        <v>140783</v>
      </c>
      <c r="D27" s="10" t="s">
        <v>13</v>
      </c>
      <c r="E27" s="21">
        <v>3951592.99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4.25" customHeight="1" x14ac:dyDescent="0.2">
      <c r="A28" s="59" t="s">
        <v>25</v>
      </c>
      <c r="B28" s="57"/>
      <c r="C28" s="57"/>
      <c r="D28" s="58"/>
      <c r="E28" s="13">
        <f>SUM(E16:E27)</f>
        <v>69959146.549999997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5" ht="14.25" customHeight="1" x14ac:dyDescent="0.2">
      <c r="A29" s="23"/>
      <c r="B29" s="24"/>
      <c r="C29" s="25"/>
      <c r="D29" s="26"/>
      <c r="E29" s="2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5" ht="14.25" customHeight="1" x14ac:dyDescent="0.2">
      <c r="A30" s="59" t="s">
        <v>26</v>
      </c>
      <c r="B30" s="57"/>
      <c r="C30" s="57"/>
      <c r="D30" s="57"/>
      <c r="E30" s="58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5" ht="25.5" x14ac:dyDescent="0.2">
      <c r="A31" s="7">
        <v>1</v>
      </c>
      <c r="B31" s="8" t="s">
        <v>27</v>
      </c>
      <c r="C31" s="9" t="s">
        <v>28</v>
      </c>
      <c r="D31" s="10" t="s">
        <v>29</v>
      </c>
      <c r="E31" s="11">
        <v>380000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5" ht="14.25" customHeight="1" x14ac:dyDescent="0.2">
      <c r="A32" s="7">
        <v>2</v>
      </c>
      <c r="B32" s="8" t="s">
        <v>30</v>
      </c>
      <c r="C32" s="9" t="s">
        <v>31</v>
      </c>
      <c r="D32" s="10" t="s">
        <v>29</v>
      </c>
      <c r="E32" s="11">
        <v>451650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38.25" x14ac:dyDescent="0.2">
      <c r="A33" s="7">
        <v>3</v>
      </c>
      <c r="B33" s="8" t="s">
        <v>32</v>
      </c>
      <c r="C33" s="9" t="s">
        <v>33</v>
      </c>
      <c r="D33" s="10" t="s">
        <v>29</v>
      </c>
      <c r="E33" s="11">
        <v>422000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5.5" x14ac:dyDescent="0.2">
      <c r="A34" s="7">
        <v>4</v>
      </c>
      <c r="B34" s="8" t="s">
        <v>34</v>
      </c>
      <c r="C34" s="9" t="s">
        <v>35</v>
      </c>
      <c r="D34" s="10" t="s">
        <v>29</v>
      </c>
      <c r="E34" s="11">
        <v>399560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4.25" customHeight="1" x14ac:dyDescent="0.2">
      <c r="A35" s="7">
        <v>5</v>
      </c>
      <c r="B35" s="8" t="s">
        <v>36</v>
      </c>
      <c r="C35" s="9" t="s">
        <v>37</v>
      </c>
      <c r="D35" s="10" t="s">
        <v>29</v>
      </c>
      <c r="E35" s="11">
        <v>144186.14000000001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5.5" x14ac:dyDescent="0.2">
      <c r="A36" s="7">
        <v>6</v>
      </c>
      <c r="B36" s="8" t="s">
        <v>38</v>
      </c>
      <c r="C36" s="9" t="s">
        <v>39</v>
      </c>
      <c r="D36" s="10" t="s">
        <v>29</v>
      </c>
      <c r="E36" s="11">
        <v>387000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4.25" customHeight="1" x14ac:dyDescent="0.2">
      <c r="A37" s="7">
        <v>7</v>
      </c>
      <c r="B37" s="28" t="s">
        <v>40</v>
      </c>
      <c r="C37" s="29" t="s">
        <v>41</v>
      </c>
      <c r="D37" s="30" t="s">
        <v>42</v>
      </c>
      <c r="E37" s="11">
        <v>472000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5.5" x14ac:dyDescent="0.2">
      <c r="A38" s="7">
        <v>8</v>
      </c>
      <c r="B38" s="8" t="s">
        <v>43</v>
      </c>
      <c r="C38" s="9" t="s">
        <v>44</v>
      </c>
      <c r="D38" s="10" t="s">
        <v>42</v>
      </c>
      <c r="E38" s="11">
        <v>387750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38.25" x14ac:dyDescent="0.2">
      <c r="A39" s="7">
        <v>9</v>
      </c>
      <c r="B39" s="8" t="s">
        <v>45</v>
      </c>
      <c r="C39" s="9" t="s">
        <v>46</v>
      </c>
      <c r="D39" s="10" t="s">
        <v>42</v>
      </c>
      <c r="E39" s="11">
        <v>414900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5.5" x14ac:dyDescent="0.2">
      <c r="A40" s="7">
        <v>10</v>
      </c>
      <c r="B40" s="8" t="s">
        <v>34</v>
      </c>
      <c r="C40" s="9" t="s">
        <v>47</v>
      </c>
      <c r="D40" s="10" t="s">
        <v>42</v>
      </c>
      <c r="E40" s="11">
        <v>423000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4.25" x14ac:dyDescent="0.2">
      <c r="A41" s="7">
        <v>11</v>
      </c>
      <c r="B41" s="8" t="s">
        <v>48</v>
      </c>
      <c r="C41" s="9" t="s">
        <v>49</v>
      </c>
      <c r="D41" s="10" t="s">
        <v>42</v>
      </c>
      <c r="E41" s="11">
        <v>223529.41999999998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4.25" customHeight="1" x14ac:dyDescent="0.2">
      <c r="A42" s="7">
        <v>12</v>
      </c>
      <c r="B42" s="8" t="s">
        <v>50</v>
      </c>
      <c r="C42" s="9" t="s">
        <v>51</v>
      </c>
      <c r="D42" s="10" t="s">
        <v>42</v>
      </c>
      <c r="E42" s="11">
        <v>470000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4.25" customHeight="1" x14ac:dyDescent="0.2">
      <c r="A43" s="59" t="s">
        <v>52</v>
      </c>
      <c r="B43" s="57"/>
      <c r="C43" s="57"/>
      <c r="D43" s="58"/>
      <c r="E43" s="13">
        <f>SUM(E31:E42)</f>
        <v>4575575.5600000005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3.5" customHeight="1" x14ac:dyDescent="0.2">
      <c r="A44" s="31"/>
      <c r="B44" s="24"/>
      <c r="C44" s="32"/>
      <c r="D44" s="24"/>
      <c r="E44" s="3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3.5" customHeight="1" x14ac:dyDescent="0.2">
      <c r="A45" s="59" t="s">
        <v>53</v>
      </c>
      <c r="B45" s="57"/>
      <c r="C45" s="57"/>
      <c r="D45" s="57"/>
      <c r="E45" s="5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4.25" x14ac:dyDescent="0.2">
      <c r="A46" s="7">
        <v>1</v>
      </c>
      <c r="B46" s="8" t="s">
        <v>54</v>
      </c>
      <c r="C46" s="9" t="s">
        <v>55</v>
      </c>
      <c r="D46" s="10" t="s">
        <v>56</v>
      </c>
      <c r="E46" s="11">
        <v>195000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4.25" x14ac:dyDescent="0.2">
      <c r="A47" s="7">
        <v>2</v>
      </c>
      <c r="B47" s="8" t="s">
        <v>57</v>
      </c>
      <c r="C47" s="9" t="s">
        <v>58</v>
      </c>
      <c r="D47" s="10" t="s">
        <v>56</v>
      </c>
      <c r="E47" s="11">
        <v>152800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4.25" x14ac:dyDescent="0.2">
      <c r="A48" s="7">
        <v>3</v>
      </c>
      <c r="B48" s="8" t="s">
        <v>59</v>
      </c>
      <c r="C48" s="9" t="s">
        <v>60</v>
      </c>
      <c r="D48" s="10" t="s">
        <v>56</v>
      </c>
      <c r="E48" s="11">
        <v>103000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4.25" x14ac:dyDescent="0.2">
      <c r="A49" s="7">
        <v>4</v>
      </c>
      <c r="B49" s="8" t="s">
        <v>61</v>
      </c>
      <c r="C49" s="9" t="s">
        <v>62</v>
      </c>
      <c r="D49" s="10" t="s">
        <v>56</v>
      </c>
      <c r="E49" s="11">
        <v>184000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4.25" customHeight="1" x14ac:dyDescent="0.2">
      <c r="A50" s="7">
        <v>5</v>
      </c>
      <c r="B50" s="34" t="s">
        <v>63</v>
      </c>
      <c r="C50" s="9" t="s">
        <v>64</v>
      </c>
      <c r="D50" s="10" t="s">
        <v>56</v>
      </c>
      <c r="E50" s="11">
        <v>174358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4.25" customHeight="1" x14ac:dyDescent="0.2">
      <c r="A51" s="7">
        <v>6</v>
      </c>
      <c r="B51" s="8" t="s">
        <v>65</v>
      </c>
      <c r="C51" s="9" t="s">
        <v>66</v>
      </c>
      <c r="D51" s="10" t="s">
        <v>56</v>
      </c>
      <c r="E51" s="11">
        <v>236750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25.5" x14ac:dyDescent="0.2">
      <c r="A52" s="35">
        <v>7</v>
      </c>
      <c r="B52" s="36" t="s">
        <v>67</v>
      </c>
      <c r="C52" s="37" t="s">
        <v>68</v>
      </c>
      <c r="D52" s="38" t="s">
        <v>56</v>
      </c>
      <c r="E52" s="39">
        <v>558100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4.25" customHeight="1" x14ac:dyDescent="0.2">
      <c r="A53" s="59" t="s">
        <v>69</v>
      </c>
      <c r="B53" s="57"/>
      <c r="C53" s="57"/>
      <c r="D53" s="58"/>
      <c r="E53" s="13">
        <f>SUM(E46:E52)</f>
        <v>1604008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4.25" customHeight="1" x14ac:dyDescent="0.2">
      <c r="A54" s="31"/>
      <c r="B54" s="24"/>
      <c r="C54" s="32"/>
      <c r="D54" s="24"/>
      <c r="E54" s="3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4.25" customHeight="1" x14ac:dyDescent="0.2">
      <c r="A55" s="59" t="s">
        <v>70</v>
      </c>
      <c r="B55" s="57"/>
      <c r="C55" s="57"/>
      <c r="D55" s="57"/>
      <c r="E55" s="5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24" customHeight="1" x14ac:dyDescent="0.2">
      <c r="A56" s="7">
        <v>1</v>
      </c>
      <c r="B56" s="8" t="s">
        <v>71</v>
      </c>
      <c r="C56" s="9" t="s">
        <v>72</v>
      </c>
      <c r="D56" s="10" t="s">
        <v>73</v>
      </c>
      <c r="E56" s="11">
        <v>4285.83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25.5" x14ac:dyDescent="0.2">
      <c r="A57" s="7">
        <v>2</v>
      </c>
      <c r="B57" s="8" t="s">
        <v>74</v>
      </c>
      <c r="C57" s="9" t="s">
        <v>72</v>
      </c>
      <c r="D57" s="10" t="s">
        <v>73</v>
      </c>
      <c r="E57" s="11">
        <v>18011.650000000001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32.25" customHeight="1" x14ac:dyDescent="0.2">
      <c r="A58" s="7">
        <v>3</v>
      </c>
      <c r="B58" s="8" t="s">
        <v>75</v>
      </c>
      <c r="C58" s="9" t="s">
        <v>72</v>
      </c>
      <c r="D58" s="10" t="s">
        <v>73</v>
      </c>
      <c r="E58" s="11">
        <v>23735.66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25.5" x14ac:dyDescent="0.2">
      <c r="A59" s="7">
        <v>4</v>
      </c>
      <c r="B59" s="8" t="s">
        <v>76</v>
      </c>
      <c r="C59" s="9" t="s">
        <v>72</v>
      </c>
      <c r="D59" s="10" t="s">
        <v>73</v>
      </c>
      <c r="E59" s="11">
        <v>4536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25.5" x14ac:dyDescent="0.2">
      <c r="A60" s="7">
        <v>5</v>
      </c>
      <c r="B60" s="8" t="s">
        <v>77</v>
      </c>
      <c r="C60" s="9" t="s">
        <v>72</v>
      </c>
      <c r="D60" s="10" t="s">
        <v>73</v>
      </c>
      <c r="E60" s="11">
        <v>20912.59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25.5" x14ac:dyDescent="0.2">
      <c r="A61" s="7">
        <v>6</v>
      </c>
      <c r="B61" s="8" t="s">
        <v>78</v>
      </c>
      <c r="C61" s="9" t="s">
        <v>72</v>
      </c>
      <c r="D61" s="10" t="s">
        <v>73</v>
      </c>
      <c r="E61" s="11">
        <v>18820.5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25.5" x14ac:dyDescent="0.2">
      <c r="A62" s="7">
        <v>7</v>
      </c>
      <c r="B62" s="8" t="s">
        <v>79</v>
      </c>
      <c r="C62" s="9" t="s">
        <v>72</v>
      </c>
      <c r="D62" s="10" t="s">
        <v>73</v>
      </c>
      <c r="E62" s="11">
        <v>46200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25.5" x14ac:dyDescent="0.2">
      <c r="A63" s="7">
        <v>8</v>
      </c>
      <c r="B63" s="8" t="s">
        <v>80</v>
      </c>
      <c r="C63" s="9" t="s">
        <v>72</v>
      </c>
      <c r="D63" s="10" t="s">
        <v>73</v>
      </c>
      <c r="E63" s="11">
        <v>10394.74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25.5" x14ac:dyDescent="0.2">
      <c r="A64" s="7">
        <v>9</v>
      </c>
      <c r="B64" s="8" t="s">
        <v>81</v>
      </c>
      <c r="C64" s="9" t="s">
        <v>72</v>
      </c>
      <c r="D64" s="10" t="s">
        <v>73</v>
      </c>
      <c r="E64" s="11">
        <v>7602.03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4.25" customHeight="1" x14ac:dyDescent="0.2">
      <c r="A65" s="59" t="s">
        <v>82</v>
      </c>
      <c r="B65" s="57"/>
      <c r="C65" s="57"/>
      <c r="D65" s="58"/>
      <c r="E65" s="13">
        <f>SUM(E56:E64)</f>
        <v>154498.99999999997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4.25" customHeight="1" x14ac:dyDescent="0.2">
      <c r="A66" s="31"/>
      <c r="B66" s="24"/>
      <c r="C66" s="32"/>
      <c r="D66" s="24"/>
      <c r="E66" s="3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4.25" customHeight="1" x14ac:dyDescent="0.2">
      <c r="A67" s="59" t="s">
        <v>83</v>
      </c>
      <c r="B67" s="57"/>
      <c r="C67" s="57"/>
      <c r="D67" s="57"/>
      <c r="E67" s="5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4.25" customHeight="1" x14ac:dyDescent="0.2">
      <c r="A68" s="7">
        <v>1</v>
      </c>
      <c r="B68" s="8" t="s">
        <v>84</v>
      </c>
      <c r="C68" s="9" t="s">
        <v>85</v>
      </c>
      <c r="D68" s="10" t="s">
        <v>86</v>
      </c>
      <c r="E68" s="11">
        <v>22500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4.25" customHeight="1" x14ac:dyDescent="0.2">
      <c r="A69" s="7">
        <v>2</v>
      </c>
      <c r="B69" s="8" t="s">
        <v>87</v>
      </c>
      <c r="C69" s="9" t="s">
        <v>85</v>
      </c>
      <c r="D69" s="10" t="s">
        <v>86</v>
      </c>
      <c r="E69" s="11">
        <v>30000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4.25" x14ac:dyDescent="0.2">
      <c r="A70" s="7">
        <v>3</v>
      </c>
      <c r="B70" s="8" t="s">
        <v>88</v>
      </c>
      <c r="C70" s="9" t="s">
        <v>85</v>
      </c>
      <c r="D70" s="10" t="s">
        <v>86</v>
      </c>
      <c r="E70" s="11">
        <v>10000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4.25" x14ac:dyDescent="0.2">
      <c r="A71" s="7">
        <v>4</v>
      </c>
      <c r="B71" s="8" t="s">
        <v>89</v>
      </c>
      <c r="C71" s="9" t="s">
        <v>85</v>
      </c>
      <c r="D71" s="10" t="s">
        <v>86</v>
      </c>
      <c r="E71" s="11">
        <v>10000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25.5" x14ac:dyDescent="0.2">
      <c r="A72" s="7">
        <v>5</v>
      </c>
      <c r="B72" s="8" t="s">
        <v>90</v>
      </c>
      <c r="C72" s="9" t="s">
        <v>85</v>
      </c>
      <c r="D72" s="10" t="s">
        <v>86</v>
      </c>
      <c r="E72" s="11">
        <v>98000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4.25" customHeight="1" x14ac:dyDescent="0.2">
      <c r="A73" s="59" t="s">
        <v>91</v>
      </c>
      <c r="B73" s="57"/>
      <c r="C73" s="57"/>
      <c r="D73" s="58"/>
      <c r="E73" s="40">
        <f>SUM(E68:E72)</f>
        <v>170500</v>
      </c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</row>
    <row r="74" spans="1:23" ht="14.25" customHeight="1" x14ac:dyDescent="0.2">
      <c r="A74" s="31"/>
      <c r="B74" s="24"/>
      <c r="C74" s="32"/>
      <c r="D74" s="24"/>
      <c r="E74" s="42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</row>
    <row r="75" spans="1:23" ht="14.25" customHeight="1" x14ac:dyDescent="0.2">
      <c r="A75" s="59" t="s">
        <v>92</v>
      </c>
      <c r="B75" s="57"/>
      <c r="C75" s="57"/>
      <c r="D75" s="57"/>
      <c r="E75" s="58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</row>
    <row r="76" spans="1:23" ht="25.5" x14ac:dyDescent="0.2">
      <c r="A76" s="7">
        <v>1</v>
      </c>
      <c r="B76" s="8" t="s">
        <v>93</v>
      </c>
      <c r="C76" s="9" t="s">
        <v>94</v>
      </c>
      <c r="D76" s="10" t="s">
        <v>95</v>
      </c>
      <c r="E76" s="11">
        <v>848090.62799999991</v>
      </c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</row>
    <row r="77" spans="1:23" ht="25.5" x14ac:dyDescent="0.2">
      <c r="A77" s="7">
        <v>2</v>
      </c>
      <c r="B77" s="8" t="s">
        <v>96</v>
      </c>
      <c r="C77" s="9" t="s">
        <v>97</v>
      </c>
      <c r="D77" s="10" t="s">
        <v>95</v>
      </c>
      <c r="E77" s="11">
        <v>2601247.3200000003</v>
      </c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</row>
    <row r="78" spans="1:23" ht="14.25" customHeight="1" x14ac:dyDescent="0.2">
      <c r="A78" s="59" t="s">
        <v>98</v>
      </c>
      <c r="B78" s="57"/>
      <c r="C78" s="57"/>
      <c r="D78" s="58"/>
      <c r="E78" s="40">
        <f>SUM(E76:E77)</f>
        <v>3449337.9480000003</v>
      </c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</row>
    <row r="79" spans="1:23" ht="14.25" customHeight="1" x14ac:dyDescent="0.2">
      <c r="A79" s="44"/>
      <c r="B79" s="45"/>
      <c r="C79" s="45"/>
      <c r="D79" s="46"/>
      <c r="E79" s="45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</row>
    <row r="80" spans="1:23" ht="14.25" customHeight="1" x14ac:dyDescent="0.2">
      <c r="A80" s="59" t="s">
        <v>99</v>
      </c>
      <c r="B80" s="57"/>
      <c r="C80" s="57"/>
      <c r="D80" s="57"/>
      <c r="E80" s="58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</row>
    <row r="81" spans="1:23" ht="25.5" x14ac:dyDescent="0.2">
      <c r="A81" s="7">
        <v>1</v>
      </c>
      <c r="B81" s="8" t="s">
        <v>100</v>
      </c>
      <c r="C81" s="9" t="s">
        <v>101</v>
      </c>
      <c r="D81" s="10" t="s">
        <v>102</v>
      </c>
      <c r="E81" s="11">
        <v>351100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25.5" x14ac:dyDescent="0.2">
      <c r="A82" s="7">
        <v>2</v>
      </c>
      <c r="B82" s="8" t="s">
        <v>103</v>
      </c>
      <c r="C82" s="9" t="s">
        <v>104</v>
      </c>
      <c r="D82" s="10" t="s">
        <v>102</v>
      </c>
      <c r="E82" s="11">
        <v>187400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25.5" x14ac:dyDescent="0.2">
      <c r="A83" s="7">
        <v>3</v>
      </c>
      <c r="B83" s="8" t="s">
        <v>105</v>
      </c>
      <c r="C83" s="9" t="s">
        <v>106</v>
      </c>
      <c r="D83" s="10" t="s">
        <v>102</v>
      </c>
      <c r="E83" s="11">
        <v>187434.46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25.5" x14ac:dyDescent="0.2">
      <c r="A84" s="7">
        <v>4</v>
      </c>
      <c r="B84" s="8" t="s">
        <v>107</v>
      </c>
      <c r="C84" s="9" t="s">
        <v>108</v>
      </c>
      <c r="D84" s="10" t="s">
        <v>102</v>
      </c>
      <c r="E84" s="11">
        <v>699800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25.5" x14ac:dyDescent="0.2">
      <c r="A85" s="7">
        <v>5</v>
      </c>
      <c r="B85" s="8" t="s">
        <v>109</v>
      </c>
      <c r="C85" s="9" t="s">
        <v>110</v>
      </c>
      <c r="D85" s="10" t="s">
        <v>102</v>
      </c>
      <c r="E85" s="11">
        <v>351188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25.5" x14ac:dyDescent="0.2">
      <c r="A86" s="7">
        <v>6</v>
      </c>
      <c r="B86" s="8" t="s">
        <v>111</v>
      </c>
      <c r="C86" s="9" t="s">
        <v>112</v>
      </c>
      <c r="D86" s="10" t="s">
        <v>102</v>
      </c>
      <c r="E86" s="11">
        <v>187514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25.5" x14ac:dyDescent="0.2">
      <c r="A87" s="7">
        <v>7</v>
      </c>
      <c r="B87" s="8" t="s">
        <v>113</v>
      </c>
      <c r="C87" s="9" t="s">
        <v>114</v>
      </c>
      <c r="D87" s="10" t="s">
        <v>102</v>
      </c>
      <c r="E87" s="11">
        <v>187400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4.25" customHeight="1" x14ac:dyDescent="0.2">
      <c r="A88" s="59" t="s">
        <v>115</v>
      </c>
      <c r="B88" s="57"/>
      <c r="C88" s="57"/>
      <c r="D88" s="58"/>
      <c r="E88" s="13">
        <f>SUM(E81:E87)</f>
        <v>2151836.46</v>
      </c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</row>
    <row r="89" spans="1:23" ht="14.25" customHeight="1" x14ac:dyDescent="0.2">
      <c r="A89" s="44"/>
      <c r="B89" s="45"/>
      <c r="C89" s="45"/>
      <c r="D89" s="46"/>
      <c r="E89" s="45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</row>
    <row r="90" spans="1:23" ht="14.25" customHeight="1" x14ac:dyDescent="0.2">
      <c r="A90" s="59" t="s">
        <v>116</v>
      </c>
      <c r="B90" s="57"/>
      <c r="C90" s="57"/>
      <c r="D90" s="57"/>
      <c r="E90" s="58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</row>
    <row r="91" spans="1:23" ht="14.25" x14ac:dyDescent="0.2">
      <c r="A91" s="7">
        <v>1</v>
      </c>
      <c r="B91" s="8" t="s">
        <v>117</v>
      </c>
      <c r="C91" s="9" t="s">
        <v>118</v>
      </c>
      <c r="D91" s="10" t="s">
        <v>119</v>
      </c>
      <c r="E91" s="9">
        <v>72369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4.25" customHeight="1" x14ac:dyDescent="0.2">
      <c r="A92" s="59" t="s">
        <v>120</v>
      </c>
      <c r="B92" s="57"/>
      <c r="C92" s="57"/>
      <c r="D92" s="58"/>
      <c r="E92" s="13">
        <f>SUM(E91)</f>
        <v>72369</v>
      </c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</row>
    <row r="93" spans="1:23" ht="14.25" customHeight="1" x14ac:dyDescent="0.2">
      <c r="A93" s="15"/>
      <c r="B93" s="15"/>
      <c r="C93" s="47"/>
      <c r="D93" s="48"/>
      <c r="E93" s="49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</row>
    <row r="94" spans="1:23" ht="25.5" x14ac:dyDescent="0.2">
      <c r="A94" s="50"/>
      <c r="B94" s="45"/>
      <c r="C94" s="37"/>
      <c r="D94" s="51" t="s">
        <v>121</v>
      </c>
      <c r="E94" s="52">
        <f>E13+E28+E43+E53+E65+E73+E78+E88+E92</f>
        <v>82974933.09799999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4.25" customHeight="1" x14ac:dyDescent="0.2">
      <c r="A95" s="50"/>
      <c r="B95" s="45"/>
      <c r="C95" s="37"/>
      <c r="D95" s="1"/>
      <c r="E95" s="3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4.25" customHeight="1" x14ac:dyDescent="0.2">
      <c r="A96" s="50"/>
      <c r="B96" s="45"/>
      <c r="C96" s="37"/>
      <c r="D96" s="1"/>
      <c r="E96" s="3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4.25" customHeight="1" x14ac:dyDescent="0.2">
      <c r="A97" s="50"/>
      <c r="B97" s="45"/>
      <c r="C97" s="37"/>
      <c r="D97" s="1"/>
      <c r="E97" s="3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4.25" customHeight="1" x14ac:dyDescent="0.2">
      <c r="A98" s="50"/>
      <c r="B98" s="45"/>
      <c r="C98" s="37"/>
      <c r="D98" s="1"/>
      <c r="E98" s="3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4.25" customHeight="1" x14ac:dyDescent="0.2">
      <c r="A99" s="50"/>
      <c r="B99" s="45"/>
      <c r="C99" s="37"/>
      <c r="D99" s="1"/>
      <c r="E99" s="3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4.25" customHeight="1" x14ac:dyDescent="0.2">
      <c r="A100" s="50"/>
      <c r="B100" s="45"/>
      <c r="C100" s="37"/>
      <c r="D100" s="1"/>
      <c r="E100" s="3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4.25" customHeight="1" x14ac:dyDescent="0.2">
      <c r="A101" s="50"/>
      <c r="B101" s="45"/>
      <c r="C101" s="37"/>
      <c r="D101" s="1"/>
      <c r="E101" s="3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4.25" customHeight="1" x14ac:dyDescent="0.2">
      <c r="A102" s="50"/>
      <c r="B102" s="45"/>
      <c r="C102" s="37"/>
      <c r="D102" s="1"/>
      <c r="E102" s="3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4.25" customHeight="1" x14ac:dyDescent="0.2">
      <c r="A103" s="50"/>
      <c r="B103" s="45"/>
      <c r="C103" s="37"/>
      <c r="D103" s="1"/>
      <c r="E103" s="3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4.25" customHeight="1" x14ac:dyDescent="0.2">
      <c r="A104" s="50"/>
      <c r="B104" s="45"/>
      <c r="C104" s="37"/>
      <c r="D104" s="1"/>
      <c r="E104" s="3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4.25" customHeight="1" x14ac:dyDescent="0.2">
      <c r="A105" s="50"/>
      <c r="B105" s="45"/>
      <c r="C105" s="37"/>
      <c r="D105" s="1"/>
      <c r="E105" s="3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4.25" customHeight="1" x14ac:dyDescent="0.2">
      <c r="A106" s="50"/>
      <c r="B106" s="45"/>
      <c r="C106" s="37"/>
      <c r="D106" s="1"/>
      <c r="E106" s="3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4.25" customHeight="1" x14ac:dyDescent="0.2">
      <c r="A107" s="50"/>
      <c r="B107" s="45"/>
      <c r="C107" s="37"/>
      <c r="D107" s="1"/>
      <c r="E107" s="3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4.25" customHeight="1" x14ac:dyDescent="0.2">
      <c r="A108" s="50"/>
      <c r="B108" s="45"/>
      <c r="C108" s="37"/>
      <c r="D108" s="1"/>
      <c r="E108" s="3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4.25" customHeight="1" x14ac:dyDescent="0.2">
      <c r="A109" s="50"/>
      <c r="B109" s="45"/>
      <c r="C109" s="37"/>
      <c r="D109" s="1"/>
      <c r="E109" s="3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4.25" customHeight="1" x14ac:dyDescent="0.2">
      <c r="A110" s="50"/>
      <c r="B110" s="45"/>
      <c r="C110" s="37"/>
      <c r="D110" s="1"/>
      <c r="E110" s="3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4.25" customHeight="1" x14ac:dyDescent="0.2">
      <c r="A111" s="50"/>
      <c r="B111" s="45"/>
      <c r="C111" s="37"/>
      <c r="D111" s="1"/>
      <c r="E111" s="3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4.25" customHeight="1" x14ac:dyDescent="0.2">
      <c r="A112" s="50"/>
      <c r="B112" s="45"/>
      <c r="C112" s="37"/>
      <c r="D112" s="1"/>
      <c r="E112" s="3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4.25" customHeight="1" x14ac:dyDescent="0.2">
      <c r="A113" s="50"/>
      <c r="B113" s="45"/>
      <c r="C113" s="37"/>
      <c r="D113" s="1"/>
      <c r="E113" s="3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4.25" customHeight="1" x14ac:dyDescent="0.2">
      <c r="A114" s="50"/>
      <c r="B114" s="45"/>
      <c r="C114" s="37"/>
      <c r="D114" s="1"/>
      <c r="E114" s="3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4.25" customHeight="1" x14ac:dyDescent="0.2">
      <c r="A115" s="50"/>
      <c r="B115" s="45"/>
      <c r="C115" s="37"/>
      <c r="D115" s="1"/>
      <c r="E115" s="3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4.25" customHeight="1" x14ac:dyDescent="0.2">
      <c r="A116" s="50"/>
      <c r="B116" s="45"/>
      <c r="C116" s="37"/>
      <c r="D116" s="1"/>
      <c r="E116" s="3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4.25" customHeight="1" x14ac:dyDescent="0.2">
      <c r="A117" s="50"/>
      <c r="B117" s="45"/>
      <c r="C117" s="37"/>
      <c r="D117" s="1"/>
      <c r="E117" s="3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4.25" customHeight="1" x14ac:dyDescent="0.2">
      <c r="A118" s="50"/>
      <c r="B118" s="45"/>
      <c r="C118" s="37"/>
      <c r="D118" s="1"/>
      <c r="E118" s="3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4.25" customHeight="1" x14ac:dyDescent="0.2">
      <c r="A119" s="50"/>
      <c r="B119" s="45"/>
      <c r="C119" s="37"/>
      <c r="D119" s="1"/>
      <c r="E119" s="3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4.25" customHeight="1" x14ac:dyDescent="0.2">
      <c r="A120" s="50"/>
      <c r="B120" s="45"/>
      <c r="C120" s="37"/>
      <c r="D120" s="1"/>
      <c r="E120" s="3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4.25" customHeight="1" x14ac:dyDescent="0.2">
      <c r="A121" s="50"/>
      <c r="B121" s="45"/>
      <c r="C121" s="37"/>
      <c r="D121" s="1"/>
      <c r="E121" s="3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4.25" customHeight="1" x14ac:dyDescent="0.2">
      <c r="A122" s="50"/>
      <c r="B122" s="45"/>
      <c r="C122" s="37"/>
      <c r="D122" s="1"/>
      <c r="E122" s="3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4.25" customHeight="1" x14ac:dyDescent="0.2">
      <c r="A123" s="50"/>
      <c r="B123" s="45"/>
      <c r="C123" s="37"/>
      <c r="D123" s="1"/>
      <c r="E123" s="3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4.25" customHeight="1" x14ac:dyDescent="0.2">
      <c r="A124" s="50"/>
      <c r="B124" s="45"/>
      <c r="C124" s="37"/>
      <c r="D124" s="1"/>
      <c r="E124" s="3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4.25" customHeight="1" x14ac:dyDescent="0.2">
      <c r="A125" s="50"/>
      <c r="B125" s="45"/>
      <c r="C125" s="37"/>
      <c r="D125" s="1"/>
      <c r="E125" s="3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4.25" customHeight="1" x14ac:dyDescent="0.2">
      <c r="A126" s="50"/>
      <c r="B126" s="45"/>
      <c r="C126" s="37"/>
      <c r="D126" s="1"/>
      <c r="E126" s="3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4.25" customHeight="1" x14ac:dyDescent="0.2">
      <c r="A127" s="50"/>
      <c r="B127" s="45"/>
      <c r="C127" s="37"/>
      <c r="D127" s="1"/>
      <c r="E127" s="3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4.25" customHeight="1" x14ac:dyDescent="0.2">
      <c r="A128" s="50"/>
      <c r="B128" s="45"/>
      <c r="C128" s="37"/>
      <c r="D128" s="1"/>
      <c r="E128" s="3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4.25" customHeight="1" x14ac:dyDescent="0.2">
      <c r="A129" s="50"/>
      <c r="B129" s="45"/>
      <c r="C129" s="37"/>
      <c r="D129" s="1"/>
      <c r="E129" s="3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4.25" customHeight="1" x14ac:dyDescent="0.2">
      <c r="A130" s="50"/>
      <c r="B130" s="45"/>
      <c r="C130" s="37"/>
      <c r="D130" s="1"/>
      <c r="E130" s="3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4.25" customHeight="1" x14ac:dyDescent="0.2">
      <c r="A131" s="50"/>
      <c r="B131" s="45"/>
      <c r="C131" s="37"/>
      <c r="D131" s="1"/>
      <c r="E131" s="3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4.25" customHeight="1" x14ac:dyDescent="0.2">
      <c r="A132" s="50"/>
      <c r="B132" s="45"/>
      <c r="C132" s="37"/>
      <c r="D132" s="1"/>
      <c r="E132" s="3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4.25" customHeight="1" x14ac:dyDescent="0.2">
      <c r="A133" s="50"/>
      <c r="B133" s="45"/>
      <c r="C133" s="37"/>
      <c r="D133" s="1"/>
      <c r="E133" s="3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4.25" customHeight="1" x14ac:dyDescent="0.2">
      <c r="A134" s="50"/>
      <c r="B134" s="45"/>
      <c r="C134" s="37"/>
      <c r="D134" s="1"/>
      <c r="E134" s="3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4.25" customHeight="1" x14ac:dyDescent="0.2">
      <c r="A135" s="50"/>
      <c r="B135" s="45"/>
      <c r="C135" s="37"/>
      <c r="D135" s="1"/>
      <c r="E135" s="3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4.25" customHeight="1" x14ac:dyDescent="0.2">
      <c r="A136" s="50"/>
      <c r="B136" s="45"/>
      <c r="C136" s="37"/>
      <c r="D136" s="1"/>
      <c r="E136" s="3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4.25" customHeight="1" x14ac:dyDescent="0.2">
      <c r="A137" s="50"/>
      <c r="B137" s="45"/>
      <c r="C137" s="37"/>
      <c r="D137" s="1"/>
      <c r="E137" s="3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4.25" customHeight="1" x14ac:dyDescent="0.2">
      <c r="A138" s="50"/>
      <c r="B138" s="45"/>
      <c r="C138" s="37"/>
      <c r="D138" s="1"/>
      <c r="E138" s="3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4.25" customHeight="1" x14ac:dyDescent="0.2">
      <c r="A139" s="50"/>
      <c r="B139" s="45"/>
      <c r="C139" s="37"/>
      <c r="D139" s="1"/>
      <c r="E139" s="3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4.25" customHeight="1" x14ac:dyDescent="0.2">
      <c r="A140" s="50"/>
      <c r="B140" s="45"/>
      <c r="C140" s="37"/>
      <c r="D140" s="1"/>
      <c r="E140" s="3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4.25" customHeight="1" x14ac:dyDescent="0.2">
      <c r="A141" s="50"/>
      <c r="B141" s="45"/>
      <c r="C141" s="37"/>
      <c r="D141" s="1"/>
      <c r="E141" s="3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4.25" customHeight="1" x14ac:dyDescent="0.2">
      <c r="A142" s="50"/>
      <c r="B142" s="45"/>
      <c r="C142" s="37"/>
      <c r="D142" s="1"/>
      <c r="E142" s="3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4.25" customHeight="1" x14ac:dyDescent="0.2">
      <c r="A143" s="50"/>
      <c r="B143" s="45"/>
      <c r="C143" s="37"/>
      <c r="D143" s="1"/>
      <c r="E143" s="3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4.25" customHeight="1" x14ac:dyDescent="0.2">
      <c r="A144" s="50"/>
      <c r="B144" s="45"/>
      <c r="C144" s="37"/>
      <c r="D144" s="1"/>
      <c r="E144" s="3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4.25" customHeight="1" x14ac:dyDescent="0.2">
      <c r="A145" s="50"/>
      <c r="B145" s="45"/>
      <c r="C145" s="37"/>
      <c r="D145" s="1"/>
      <c r="E145" s="3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4.25" customHeight="1" x14ac:dyDescent="0.2">
      <c r="A146" s="50"/>
      <c r="B146" s="45"/>
      <c r="C146" s="37"/>
      <c r="D146" s="1"/>
      <c r="E146" s="3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4.25" customHeight="1" x14ac:dyDescent="0.2">
      <c r="A147" s="50"/>
      <c r="B147" s="45"/>
      <c r="C147" s="37"/>
      <c r="D147" s="1"/>
      <c r="E147" s="3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4.25" customHeight="1" x14ac:dyDescent="0.2">
      <c r="A148" s="50"/>
      <c r="B148" s="45"/>
      <c r="C148" s="37"/>
      <c r="D148" s="1"/>
      <c r="E148" s="3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4.25" customHeight="1" x14ac:dyDescent="0.2">
      <c r="A149" s="50"/>
      <c r="B149" s="45"/>
      <c r="C149" s="37"/>
      <c r="D149" s="1"/>
      <c r="E149" s="3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4.25" customHeight="1" x14ac:dyDescent="0.2">
      <c r="A150" s="50"/>
      <c r="B150" s="45"/>
      <c r="C150" s="37"/>
      <c r="D150" s="1"/>
      <c r="E150" s="3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4.25" customHeight="1" x14ac:dyDescent="0.2">
      <c r="A151" s="50"/>
      <c r="B151" s="45"/>
      <c r="C151" s="37"/>
      <c r="D151" s="1"/>
      <c r="E151" s="3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4.25" customHeight="1" x14ac:dyDescent="0.2">
      <c r="A152" s="50"/>
      <c r="B152" s="45"/>
      <c r="C152" s="37"/>
      <c r="D152" s="1"/>
      <c r="E152" s="3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4.25" customHeight="1" x14ac:dyDescent="0.2">
      <c r="A153" s="50"/>
      <c r="B153" s="45"/>
      <c r="C153" s="37"/>
      <c r="D153" s="1"/>
      <c r="E153" s="3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4.25" customHeight="1" x14ac:dyDescent="0.2">
      <c r="A154" s="50"/>
      <c r="B154" s="45"/>
      <c r="C154" s="37"/>
      <c r="D154" s="1"/>
      <c r="E154" s="3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4.25" customHeight="1" x14ac:dyDescent="0.2">
      <c r="A155" s="50"/>
      <c r="B155" s="45"/>
      <c r="C155" s="37"/>
      <c r="D155" s="1"/>
      <c r="E155" s="3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4.25" customHeight="1" x14ac:dyDescent="0.2">
      <c r="A156" s="50"/>
      <c r="B156" s="45"/>
      <c r="C156" s="37"/>
      <c r="D156" s="1"/>
      <c r="E156" s="3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4.25" customHeight="1" x14ac:dyDescent="0.2">
      <c r="A157" s="50"/>
      <c r="B157" s="45"/>
      <c r="C157" s="37"/>
      <c r="D157" s="1"/>
      <c r="E157" s="3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4.25" customHeight="1" x14ac:dyDescent="0.2">
      <c r="A158" s="50"/>
      <c r="B158" s="45"/>
      <c r="C158" s="37"/>
      <c r="D158" s="1"/>
      <c r="E158" s="3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4.25" customHeight="1" x14ac:dyDescent="0.2">
      <c r="A159" s="50"/>
      <c r="B159" s="45"/>
      <c r="C159" s="37"/>
      <c r="D159" s="1"/>
      <c r="E159" s="3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4.25" customHeight="1" x14ac:dyDescent="0.2">
      <c r="A160" s="50"/>
      <c r="B160" s="45"/>
      <c r="C160" s="37"/>
      <c r="D160" s="1"/>
      <c r="E160" s="3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4.25" customHeight="1" x14ac:dyDescent="0.2">
      <c r="A161" s="50"/>
      <c r="B161" s="45"/>
      <c r="C161" s="37"/>
      <c r="D161" s="1"/>
      <c r="E161" s="3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4.25" customHeight="1" x14ac:dyDescent="0.2">
      <c r="A162" s="50"/>
      <c r="B162" s="45"/>
      <c r="C162" s="37"/>
      <c r="D162" s="1"/>
      <c r="E162" s="3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4.25" customHeight="1" x14ac:dyDescent="0.2">
      <c r="A163" s="50"/>
      <c r="B163" s="45"/>
      <c r="C163" s="37"/>
      <c r="D163" s="1"/>
      <c r="E163" s="3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4.25" customHeight="1" x14ac:dyDescent="0.2">
      <c r="A164" s="50"/>
      <c r="B164" s="45"/>
      <c r="C164" s="37"/>
      <c r="D164" s="1"/>
      <c r="E164" s="3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4.25" customHeight="1" x14ac:dyDescent="0.2">
      <c r="A165" s="50"/>
      <c r="B165" s="45"/>
      <c r="C165" s="37"/>
      <c r="D165" s="1"/>
      <c r="E165" s="3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4.25" customHeight="1" x14ac:dyDescent="0.2">
      <c r="A166" s="50"/>
      <c r="B166" s="45"/>
      <c r="C166" s="37"/>
      <c r="D166" s="1"/>
      <c r="E166" s="3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4.25" customHeight="1" x14ac:dyDescent="0.2">
      <c r="A167" s="50"/>
      <c r="B167" s="45"/>
      <c r="C167" s="37"/>
      <c r="D167" s="1"/>
      <c r="E167" s="3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4.25" customHeight="1" x14ac:dyDescent="0.2">
      <c r="A168" s="50"/>
      <c r="B168" s="45"/>
      <c r="C168" s="37"/>
      <c r="D168" s="1"/>
      <c r="E168" s="3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4.25" customHeight="1" x14ac:dyDescent="0.2">
      <c r="A169" s="50"/>
      <c r="B169" s="45"/>
      <c r="C169" s="37"/>
      <c r="D169" s="1"/>
      <c r="E169" s="3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4.25" customHeight="1" x14ac:dyDescent="0.2">
      <c r="A170" s="50"/>
      <c r="B170" s="45"/>
      <c r="C170" s="37"/>
      <c r="D170" s="1"/>
      <c r="E170" s="3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4.25" customHeight="1" x14ac:dyDescent="0.2">
      <c r="A171" s="50"/>
      <c r="B171" s="45"/>
      <c r="C171" s="37"/>
      <c r="D171" s="1"/>
      <c r="E171" s="3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4.25" customHeight="1" x14ac:dyDescent="0.2">
      <c r="A172" s="50"/>
      <c r="B172" s="45"/>
      <c r="C172" s="37"/>
      <c r="D172" s="1"/>
      <c r="E172" s="3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4.25" customHeight="1" x14ac:dyDescent="0.2">
      <c r="A173" s="50"/>
      <c r="B173" s="45"/>
      <c r="C173" s="37"/>
      <c r="D173" s="1"/>
      <c r="E173" s="3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4.25" customHeight="1" x14ac:dyDescent="0.2">
      <c r="A174" s="50"/>
      <c r="B174" s="45"/>
      <c r="C174" s="37"/>
      <c r="D174" s="1"/>
      <c r="E174" s="3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4.25" customHeight="1" x14ac:dyDescent="0.2">
      <c r="A175" s="50"/>
      <c r="B175" s="45"/>
      <c r="C175" s="37"/>
      <c r="D175" s="1"/>
      <c r="E175" s="3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4.25" customHeight="1" x14ac:dyDescent="0.2">
      <c r="A176" s="50"/>
      <c r="B176" s="45"/>
      <c r="C176" s="37"/>
      <c r="D176" s="1"/>
      <c r="E176" s="3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4.25" customHeight="1" x14ac:dyDescent="0.2">
      <c r="A177" s="50"/>
      <c r="B177" s="45"/>
      <c r="C177" s="37"/>
      <c r="D177" s="1"/>
      <c r="E177" s="3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4.25" customHeight="1" x14ac:dyDescent="0.2">
      <c r="A178" s="50"/>
      <c r="B178" s="45"/>
      <c r="C178" s="37"/>
      <c r="D178" s="1"/>
      <c r="E178" s="3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4.25" customHeight="1" x14ac:dyDescent="0.2">
      <c r="A179" s="50"/>
      <c r="B179" s="45"/>
      <c r="C179" s="37"/>
      <c r="D179" s="1"/>
      <c r="E179" s="3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4.25" customHeight="1" x14ac:dyDescent="0.2">
      <c r="A180" s="50"/>
      <c r="B180" s="45"/>
      <c r="C180" s="37"/>
      <c r="D180" s="1"/>
      <c r="E180" s="3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4.25" customHeight="1" x14ac:dyDescent="0.2">
      <c r="A181" s="50"/>
      <c r="B181" s="45"/>
      <c r="C181" s="37"/>
      <c r="D181" s="1"/>
      <c r="E181" s="3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4.25" customHeight="1" x14ac:dyDescent="0.2">
      <c r="A182" s="50"/>
      <c r="B182" s="45"/>
      <c r="C182" s="37"/>
      <c r="D182" s="1"/>
      <c r="E182" s="3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4.25" customHeight="1" x14ac:dyDescent="0.2">
      <c r="A183" s="50"/>
      <c r="B183" s="45"/>
      <c r="C183" s="37"/>
      <c r="D183" s="1"/>
      <c r="E183" s="3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4.25" customHeight="1" x14ac:dyDescent="0.2">
      <c r="A184" s="50"/>
      <c r="B184" s="45"/>
      <c r="C184" s="37"/>
      <c r="D184" s="1"/>
      <c r="E184" s="3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4.25" customHeight="1" x14ac:dyDescent="0.2">
      <c r="A185" s="50"/>
      <c r="B185" s="45"/>
      <c r="C185" s="37"/>
      <c r="D185" s="1"/>
      <c r="E185" s="3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4.25" customHeight="1" x14ac:dyDescent="0.2">
      <c r="A186" s="50"/>
      <c r="B186" s="45"/>
      <c r="C186" s="37"/>
      <c r="D186" s="1"/>
      <c r="E186" s="3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4.25" customHeight="1" x14ac:dyDescent="0.2">
      <c r="A187" s="50"/>
      <c r="B187" s="45"/>
      <c r="C187" s="37"/>
      <c r="D187" s="1"/>
      <c r="E187" s="3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4.25" customHeight="1" x14ac:dyDescent="0.2">
      <c r="A188" s="50"/>
      <c r="B188" s="45"/>
      <c r="C188" s="37"/>
      <c r="D188" s="1"/>
      <c r="E188" s="3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4.25" customHeight="1" x14ac:dyDescent="0.2">
      <c r="A189" s="50"/>
      <c r="B189" s="45"/>
      <c r="C189" s="37"/>
      <c r="D189" s="1"/>
      <c r="E189" s="3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4.25" customHeight="1" x14ac:dyDescent="0.2">
      <c r="A190" s="50"/>
      <c r="B190" s="45"/>
      <c r="C190" s="37"/>
      <c r="D190" s="1"/>
      <c r="E190" s="3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4.25" customHeight="1" x14ac:dyDescent="0.2">
      <c r="A191" s="50"/>
      <c r="B191" s="45"/>
      <c r="C191" s="37"/>
      <c r="D191" s="1"/>
      <c r="E191" s="3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4.25" customHeight="1" x14ac:dyDescent="0.2">
      <c r="A192" s="50"/>
      <c r="B192" s="45"/>
      <c r="C192" s="37"/>
      <c r="D192" s="1"/>
      <c r="E192" s="3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4.25" customHeight="1" x14ac:dyDescent="0.2">
      <c r="A193" s="50"/>
      <c r="B193" s="45"/>
      <c r="C193" s="37"/>
      <c r="D193" s="1"/>
      <c r="E193" s="3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4.25" customHeight="1" x14ac:dyDescent="0.2">
      <c r="A194" s="50"/>
      <c r="B194" s="45"/>
      <c r="C194" s="37"/>
      <c r="D194" s="1"/>
      <c r="E194" s="3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4.25" customHeight="1" x14ac:dyDescent="0.2">
      <c r="A195" s="50"/>
      <c r="B195" s="45"/>
      <c r="C195" s="37"/>
      <c r="D195" s="1"/>
      <c r="E195" s="3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4.25" customHeight="1" x14ac:dyDescent="0.2">
      <c r="A196" s="50"/>
      <c r="B196" s="45"/>
      <c r="C196" s="37"/>
      <c r="D196" s="1"/>
      <c r="E196" s="3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4.25" customHeight="1" x14ac:dyDescent="0.2">
      <c r="A197" s="50"/>
      <c r="B197" s="45"/>
      <c r="C197" s="37"/>
      <c r="D197" s="1"/>
      <c r="E197" s="3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4.25" customHeight="1" x14ac:dyDescent="0.2">
      <c r="A198" s="50"/>
      <c r="B198" s="45"/>
      <c r="C198" s="37"/>
      <c r="D198" s="1"/>
      <c r="E198" s="3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4.25" customHeight="1" x14ac:dyDescent="0.2">
      <c r="A199" s="50"/>
      <c r="B199" s="45"/>
      <c r="C199" s="37"/>
      <c r="D199" s="1"/>
      <c r="E199" s="3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4.25" customHeight="1" x14ac:dyDescent="0.2">
      <c r="A200" s="50"/>
      <c r="B200" s="45"/>
      <c r="C200" s="37"/>
      <c r="D200" s="1"/>
      <c r="E200" s="3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4.25" customHeight="1" x14ac:dyDescent="0.2">
      <c r="A201" s="50"/>
      <c r="B201" s="45"/>
      <c r="C201" s="37"/>
      <c r="D201" s="1"/>
      <c r="E201" s="3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4.25" customHeight="1" x14ac:dyDescent="0.2">
      <c r="A202" s="50"/>
      <c r="B202" s="45"/>
      <c r="C202" s="37"/>
      <c r="D202" s="1"/>
      <c r="E202" s="3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4.25" customHeight="1" x14ac:dyDescent="0.2">
      <c r="A203" s="50"/>
      <c r="B203" s="45"/>
      <c r="C203" s="37"/>
      <c r="D203" s="1"/>
      <c r="E203" s="3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4.25" customHeight="1" x14ac:dyDescent="0.2">
      <c r="A204" s="50"/>
      <c r="B204" s="45"/>
      <c r="C204" s="37"/>
      <c r="D204" s="1"/>
      <c r="E204" s="3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4.25" customHeight="1" x14ac:dyDescent="0.2">
      <c r="A205" s="50"/>
      <c r="B205" s="45"/>
      <c r="C205" s="37"/>
      <c r="D205" s="1"/>
      <c r="E205" s="3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4.25" customHeight="1" x14ac:dyDescent="0.2">
      <c r="A206" s="50"/>
      <c r="B206" s="45"/>
      <c r="C206" s="37"/>
      <c r="D206" s="1"/>
      <c r="E206" s="3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4.25" customHeight="1" x14ac:dyDescent="0.2">
      <c r="A207" s="50"/>
      <c r="B207" s="45"/>
      <c r="C207" s="37"/>
      <c r="D207" s="1"/>
      <c r="E207" s="3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4.25" customHeight="1" x14ac:dyDescent="0.2">
      <c r="A208" s="50"/>
      <c r="B208" s="45"/>
      <c r="C208" s="37"/>
      <c r="D208" s="1"/>
      <c r="E208" s="3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4.25" customHeight="1" x14ac:dyDescent="0.2">
      <c r="A209" s="50"/>
      <c r="B209" s="45"/>
      <c r="C209" s="37"/>
      <c r="D209" s="1"/>
      <c r="E209" s="3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4.25" customHeight="1" x14ac:dyDescent="0.2">
      <c r="A210" s="50"/>
      <c r="B210" s="45"/>
      <c r="C210" s="37"/>
      <c r="D210" s="1"/>
      <c r="E210" s="3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4.25" customHeight="1" x14ac:dyDescent="0.2">
      <c r="A211" s="50"/>
      <c r="B211" s="45"/>
      <c r="C211" s="37"/>
      <c r="D211" s="1"/>
      <c r="E211" s="3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4.25" customHeight="1" x14ac:dyDescent="0.2">
      <c r="A212" s="50"/>
      <c r="B212" s="45"/>
      <c r="C212" s="37"/>
      <c r="D212" s="1"/>
      <c r="E212" s="3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4.25" customHeight="1" x14ac:dyDescent="0.2">
      <c r="A213" s="50"/>
      <c r="B213" s="45"/>
      <c r="C213" s="37"/>
      <c r="D213" s="1"/>
      <c r="E213" s="3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4.25" customHeight="1" x14ac:dyDescent="0.2">
      <c r="A214" s="50"/>
      <c r="B214" s="45"/>
      <c r="C214" s="37"/>
      <c r="D214" s="1"/>
      <c r="E214" s="3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4.25" customHeight="1" x14ac:dyDescent="0.2">
      <c r="A215" s="50"/>
      <c r="B215" s="45"/>
      <c r="C215" s="37"/>
      <c r="D215" s="1"/>
      <c r="E215" s="3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4.25" customHeight="1" x14ac:dyDescent="0.2">
      <c r="A216" s="50"/>
      <c r="B216" s="45"/>
      <c r="C216" s="37"/>
      <c r="D216" s="1"/>
      <c r="E216" s="3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4.25" customHeight="1" x14ac:dyDescent="0.2">
      <c r="A217" s="50"/>
      <c r="B217" s="45"/>
      <c r="C217" s="37"/>
      <c r="D217" s="1"/>
      <c r="E217" s="3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4.25" customHeight="1" x14ac:dyDescent="0.2">
      <c r="A218" s="50"/>
      <c r="B218" s="45"/>
      <c r="C218" s="37"/>
      <c r="D218" s="1"/>
      <c r="E218" s="3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4.25" customHeight="1" x14ac:dyDescent="0.2">
      <c r="A219" s="50"/>
      <c r="B219" s="45"/>
      <c r="C219" s="37"/>
      <c r="D219" s="1"/>
      <c r="E219" s="3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4.25" customHeight="1" x14ac:dyDescent="0.2">
      <c r="A220" s="50"/>
      <c r="B220" s="45"/>
      <c r="C220" s="37"/>
      <c r="D220" s="1"/>
      <c r="E220" s="3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4.25" customHeight="1" x14ac:dyDescent="0.2">
      <c r="A221" s="50"/>
      <c r="B221" s="45"/>
      <c r="C221" s="37"/>
      <c r="D221" s="1"/>
      <c r="E221" s="3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4.25" customHeight="1" x14ac:dyDescent="0.2">
      <c r="A222" s="50"/>
      <c r="B222" s="45"/>
      <c r="C222" s="37"/>
      <c r="D222" s="1"/>
      <c r="E222" s="3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4.25" customHeight="1" x14ac:dyDescent="0.2">
      <c r="A223" s="50"/>
      <c r="B223" s="45"/>
      <c r="C223" s="37"/>
      <c r="D223" s="1"/>
      <c r="E223" s="3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4.25" customHeight="1" x14ac:dyDescent="0.2">
      <c r="A224" s="50"/>
      <c r="B224" s="45"/>
      <c r="C224" s="37"/>
      <c r="D224" s="1"/>
      <c r="E224" s="3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4.25" customHeight="1" x14ac:dyDescent="0.2">
      <c r="A225" s="50"/>
      <c r="B225" s="45"/>
      <c r="C225" s="37"/>
      <c r="D225" s="1"/>
      <c r="E225" s="3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4.25" customHeight="1" x14ac:dyDescent="0.2">
      <c r="A226" s="50"/>
      <c r="B226" s="45"/>
      <c r="C226" s="37"/>
      <c r="D226" s="1"/>
      <c r="E226" s="3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4.25" customHeight="1" x14ac:dyDescent="0.2">
      <c r="A227" s="50"/>
      <c r="B227" s="45"/>
      <c r="C227" s="37"/>
      <c r="D227" s="1"/>
      <c r="E227" s="3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4.25" customHeight="1" x14ac:dyDescent="0.2">
      <c r="A228" s="50"/>
      <c r="B228" s="45"/>
      <c r="C228" s="37"/>
      <c r="D228" s="1"/>
      <c r="E228" s="3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4.25" customHeight="1" x14ac:dyDescent="0.2">
      <c r="A229" s="50"/>
      <c r="B229" s="45"/>
      <c r="C229" s="37"/>
      <c r="D229" s="1"/>
      <c r="E229" s="3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4.25" customHeight="1" x14ac:dyDescent="0.2">
      <c r="A230" s="50"/>
      <c r="B230" s="45"/>
      <c r="C230" s="37"/>
      <c r="D230" s="1"/>
      <c r="E230" s="3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4.25" customHeight="1" x14ac:dyDescent="0.2">
      <c r="A231" s="50"/>
      <c r="B231" s="45"/>
      <c r="C231" s="37"/>
      <c r="D231" s="1"/>
      <c r="E231" s="3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4.25" customHeight="1" x14ac:dyDescent="0.2">
      <c r="A232" s="50"/>
      <c r="B232" s="45"/>
      <c r="C232" s="37"/>
      <c r="D232" s="1"/>
      <c r="E232" s="3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4.25" customHeight="1" x14ac:dyDescent="0.2">
      <c r="A233" s="50"/>
      <c r="B233" s="45"/>
      <c r="C233" s="37"/>
      <c r="D233" s="1"/>
      <c r="E233" s="3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4.25" customHeight="1" x14ac:dyDescent="0.2">
      <c r="A234" s="50"/>
      <c r="B234" s="45"/>
      <c r="C234" s="37"/>
      <c r="D234" s="1"/>
      <c r="E234" s="3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4.25" customHeight="1" x14ac:dyDescent="0.2">
      <c r="A235" s="50"/>
      <c r="B235" s="45"/>
      <c r="C235" s="37"/>
      <c r="D235" s="1"/>
      <c r="E235" s="3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4.25" customHeight="1" x14ac:dyDescent="0.2">
      <c r="A236" s="50"/>
      <c r="B236" s="45"/>
      <c r="C236" s="37"/>
      <c r="D236" s="1"/>
      <c r="E236" s="3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4.25" customHeight="1" x14ac:dyDescent="0.2">
      <c r="A237" s="50"/>
      <c r="B237" s="45"/>
      <c r="C237" s="37"/>
      <c r="D237" s="1"/>
      <c r="E237" s="3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4.25" customHeight="1" x14ac:dyDescent="0.2">
      <c r="A238" s="50"/>
      <c r="B238" s="45"/>
      <c r="C238" s="37"/>
      <c r="D238" s="1"/>
      <c r="E238" s="3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4.25" customHeight="1" x14ac:dyDescent="0.2">
      <c r="A239" s="50"/>
      <c r="B239" s="45"/>
      <c r="C239" s="37"/>
      <c r="D239" s="1"/>
      <c r="E239" s="3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4.25" customHeight="1" x14ac:dyDescent="0.2">
      <c r="A240" s="50"/>
      <c r="B240" s="45"/>
      <c r="C240" s="37"/>
      <c r="D240" s="1"/>
      <c r="E240" s="3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4.25" customHeight="1" x14ac:dyDescent="0.2">
      <c r="A241" s="50"/>
      <c r="B241" s="45"/>
      <c r="C241" s="37"/>
      <c r="D241" s="1"/>
      <c r="E241" s="3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4.25" customHeight="1" x14ac:dyDescent="0.2">
      <c r="A242" s="50"/>
      <c r="B242" s="45"/>
      <c r="C242" s="37"/>
      <c r="D242" s="1"/>
      <c r="E242" s="3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4.25" customHeight="1" x14ac:dyDescent="0.2">
      <c r="A243" s="50"/>
      <c r="B243" s="45"/>
      <c r="C243" s="37"/>
      <c r="D243" s="1"/>
      <c r="E243" s="3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4.25" customHeight="1" x14ac:dyDescent="0.2">
      <c r="A244" s="50"/>
      <c r="B244" s="45"/>
      <c r="C244" s="37"/>
      <c r="D244" s="1"/>
      <c r="E244" s="3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4.25" customHeight="1" x14ac:dyDescent="0.2">
      <c r="A245" s="50"/>
      <c r="B245" s="45"/>
      <c r="C245" s="37"/>
      <c r="D245" s="1"/>
      <c r="E245" s="3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4.25" customHeight="1" x14ac:dyDescent="0.2">
      <c r="A246" s="50"/>
      <c r="B246" s="45"/>
      <c r="C246" s="37"/>
      <c r="D246" s="1"/>
      <c r="E246" s="3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4.25" customHeight="1" x14ac:dyDescent="0.2">
      <c r="A247" s="50"/>
      <c r="B247" s="45"/>
      <c r="C247" s="37"/>
      <c r="D247" s="1"/>
      <c r="E247" s="3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4.25" customHeight="1" x14ac:dyDescent="0.2">
      <c r="A248" s="50"/>
      <c r="B248" s="45"/>
      <c r="C248" s="37"/>
      <c r="D248" s="1"/>
      <c r="E248" s="3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4.25" customHeight="1" x14ac:dyDescent="0.2">
      <c r="A249" s="50"/>
      <c r="B249" s="45"/>
      <c r="C249" s="37"/>
      <c r="D249" s="1"/>
      <c r="E249" s="3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4.25" customHeight="1" x14ac:dyDescent="0.2">
      <c r="A250" s="50"/>
      <c r="B250" s="45"/>
      <c r="C250" s="37"/>
      <c r="D250" s="1"/>
      <c r="E250" s="3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4.25" customHeight="1" x14ac:dyDescent="0.2">
      <c r="A251" s="50"/>
      <c r="B251" s="45"/>
      <c r="C251" s="37"/>
      <c r="D251" s="1"/>
      <c r="E251" s="3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4.25" customHeight="1" x14ac:dyDescent="0.2">
      <c r="A252" s="50"/>
      <c r="B252" s="45"/>
      <c r="C252" s="37"/>
      <c r="D252" s="1"/>
      <c r="E252" s="3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4.25" customHeight="1" x14ac:dyDescent="0.2">
      <c r="A253" s="50"/>
      <c r="B253" s="45"/>
      <c r="C253" s="37"/>
      <c r="D253" s="1"/>
      <c r="E253" s="3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4.25" customHeight="1" x14ac:dyDescent="0.2">
      <c r="A254" s="50"/>
      <c r="B254" s="45"/>
      <c r="C254" s="37"/>
      <c r="D254" s="1"/>
      <c r="E254" s="3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4.25" customHeight="1" x14ac:dyDescent="0.2">
      <c r="A255" s="50"/>
      <c r="B255" s="45"/>
      <c r="C255" s="37"/>
      <c r="D255" s="1"/>
      <c r="E255" s="3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4.25" customHeight="1" x14ac:dyDescent="0.2">
      <c r="A256" s="50"/>
      <c r="B256" s="45"/>
      <c r="C256" s="37"/>
      <c r="D256" s="1"/>
      <c r="E256" s="3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4.25" customHeight="1" x14ac:dyDescent="0.2">
      <c r="A257" s="50"/>
      <c r="B257" s="45"/>
      <c r="C257" s="37"/>
      <c r="D257" s="1"/>
      <c r="E257" s="3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4.25" customHeight="1" x14ac:dyDescent="0.2">
      <c r="A258" s="50"/>
      <c r="B258" s="45"/>
      <c r="C258" s="37"/>
      <c r="D258" s="1"/>
      <c r="E258" s="3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4.25" customHeight="1" x14ac:dyDescent="0.2">
      <c r="A259" s="50"/>
      <c r="B259" s="45"/>
      <c r="C259" s="37"/>
      <c r="D259" s="1"/>
      <c r="E259" s="3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4.25" customHeight="1" x14ac:dyDescent="0.2">
      <c r="A260" s="50"/>
      <c r="B260" s="45"/>
      <c r="C260" s="37"/>
      <c r="D260" s="1"/>
      <c r="E260" s="3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4.25" customHeight="1" x14ac:dyDescent="0.2">
      <c r="A261" s="50"/>
      <c r="B261" s="45"/>
      <c r="C261" s="37"/>
      <c r="D261" s="1"/>
      <c r="E261" s="3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4.25" customHeight="1" x14ac:dyDescent="0.2">
      <c r="A262" s="50"/>
      <c r="B262" s="45"/>
      <c r="C262" s="37"/>
      <c r="D262" s="1"/>
      <c r="E262" s="3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4.25" customHeight="1" x14ac:dyDescent="0.2">
      <c r="A263" s="50"/>
      <c r="B263" s="45"/>
      <c r="C263" s="37"/>
      <c r="D263" s="1"/>
      <c r="E263" s="3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4.25" customHeight="1" x14ac:dyDescent="0.2">
      <c r="A264" s="50"/>
      <c r="B264" s="45"/>
      <c r="C264" s="37"/>
      <c r="D264" s="1"/>
      <c r="E264" s="3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4.25" customHeight="1" x14ac:dyDescent="0.2">
      <c r="A265" s="50"/>
      <c r="B265" s="45"/>
      <c r="C265" s="37"/>
      <c r="D265" s="1"/>
      <c r="E265" s="3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4.25" customHeight="1" x14ac:dyDescent="0.2">
      <c r="A266" s="50"/>
      <c r="B266" s="45"/>
      <c r="C266" s="37"/>
      <c r="D266" s="1"/>
      <c r="E266" s="3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4.25" customHeight="1" x14ac:dyDescent="0.2">
      <c r="A267" s="50"/>
      <c r="B267" s="45"/>
      <c r="C267" s="37"/>
      <c r="D267" s="1"/>
      <c r="E267" s="3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4.25" customHeight="1" x14ac:dyDescent="0.2">
      <c r="A268" s="50"/>
      <c r="B268" s="45"/>
      <c r="C268" s="37"/>
      <c r="D268" s="1"/>
      <c r="E268" s="3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4.25" customHeight="1" x14ac:dyDescent="0.2">
      <c r="A269" s="50"/>
      <c r="B269" s="45"/>
      <c r="C269" s="37"/>
      <c r="D269" s="1"/>
      <c r="E269" s="3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4.25" customHeight="1" x14ac:dyDescent="0.2">
      <c r="A270" s="50"/>
      <c r="B270" s="45"/>
      <c r="C270" s="37"/>
      <c r="D270" s="1"/>
      <c r="E270" s="3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4.25" customHeight="1" x14ac:dyDescent="0.2">
      <c r="A271" s="50"/>
      <c r="B271" s="45"/>
      <c r="C271" s="37"/>
      <c r="D271" s="1"/>
      <c r="E271" s="3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4.25" customHeight="1" x14ac:dyDescent="0.2">
      <c r="A272" s="50"/>
      <c r="B272" s="45"/>
      <c r="C272" s="37"/>
      <c r="D272" s="1"/>
      <c r="E272" s="3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4.25" customHeight="1" x14ac:dyDescent="0.2">
      <c r="A273" s="50"/>
      <c r="B273" s="45"/>
      <c r="C273" s="37"/>
      <c r="D273" s="1"/>
      <c r="E273" s="3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4.25" customHeight="1" x14ac:dyDescent="0.2">
      <c r="A274" s="50"/>
      <c r="B274" s="45"/>
      <c r="C274" s="37"/>
      <c r="D274" s="1"/>
      <c r="E274" s="3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4.25" customHeight="1" x14ac:dyDescent="0.2">
      <c r="A275" s="50"/>
      <c r="B275" s="45"/>
      <c r="C275" s="37"/>
      <c r="D275" s="1"/>
      <c r="E275" s="3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4.25" customHeight="1" x14ac:dyDescent="0.2">
      <c r="A276" s="50"/>
      <c r="B276" s="45"/>
      <c r="C276" s="37"/>
      <c r="D276" s="1"/>
      <c r="E276" s="3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4.25" customHeight="1" x14ac:dyDescent="0.2">
      <c r="A277" s="50"/>
      <c r="B277" s="45"/>
      <c r="C277" s="37"/>
      <c r="D277" s="1"/>
      <c r="E277" s="3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4.25" customHeight="1" x14ac:dyDescent="0.2">
      <c r="A278" s="50"/>
      <c r="B278" s="45"/>
      <c r="C278" s="37"/>
      <c r="D278" s="1"/>
      <c r="E278" s="3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4.25" customHeight="1" x14ac:dyDescent="0.2">
      <c r="A279" s="50"/>
      <c r="B279" s="45"/>
      <c r="C279" s="37"/>
      <c r="D279" s="1"/>
      <c r="E279" s="3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4.25" customHeight="1" x14ac:dyDescent="0.2">
      <c r="A280" s="50"/>
      <c r="B280" s="45"/>
      <c r="C280" s="37"/>
      <c r="D280" s="1"/>
      <c r="E280" s="3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4.25" customHeight="1" x14ac:dyDescent="0.2">
      <c r="A281" s="50"/>
      <c r="B281" s="45"/>
      <c r="C281" s="37"/>
      <c r="D281" s="1"/>
      <c r="E281" s="3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4.25" customHeight="1" x14ac:dyDescent="0.2">
      <c r="A282" s="50"/>
      <c r="B282" s="45"/>
      <c r="C282" s="37"/>
      <c r="D282" s="1"/>
      <c r="E282" s="3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4.25" customHeight="1" x14ac:dyDescent="0.2">
      <c r="A283" s="50"/>
      <c r="B283" s="45"/>
      <c r="C283" s="37"/>
      <c r="D283" s="1"/>
      <c r="E283" s="3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4.25" customHeight="1" x14ac:dyDescent="0.2">
      <c r="A284" s="50"/>
      <c r="B284" s="45"/>
      <c r="C284" s="37"/>
      <c r="D284" s="1"/>
      <c r="E284" s="3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4.25" customHeight="1" x14ac:dyDescent="0.2">
      <c r="A285" s="50"/>
      <c r="B285" s="45"/>
      <c r="C285" s="37"/>
      <c r="D285" s="1"/>
      <c r="E285" s="3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4.25" customHeight="1" x14ac:dyDescent="0.2">
      <c r="A286" s="50"/>
      <c r="B286" s="45"/>
      <c r="C286" s="37"/>
      <c r="D286" s="1"/>
      <c r="E286" s="3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4.25" customHeight="1" x14ac:dyDescent="0.2">
      <c r="A287" s="50"/>
      <c r="B287" s="45"/>
      <c r="C287" s="37"/>
      <c r="D287" s="1"/>
      <c r="E287" s="3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4.25" customHeight="1" x14ac:dyDescent="0.2">
      <c r="A288" s="50"/>
      <c r="B288" s="45"/>
      <c r="C288" s="37"/>
      <c r="D288" s="1"/>
      <c r="E288" s="3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4.25" customHeight="1" x14ac:dyDescent="0.2">
      <c r="A289" s="50"/>
      <c r="B289" s="45"/>
      <c r="C289" s="37"/>
      <c r="D289" s="1"/>
      <c r="E289" s="3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4.25" customHeight="1" x14ac:dyDescent="0.2">
      <c r="A290" s="50"/>
      <c r="B290" s="45"/>
      <c r="C290" s="37"/>
      <c r="D290" s="1"/>
      <c r="E290" s="3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4.25" customHeight="1" x14ac:dyDescent="0.2">
      <c r="A291" s="50"/>
      <c r="B291" s="45"/>
      <c r="C291" s="37"/>
      <c r="D291" s="1"/>
      <c r="E291" s="3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4.25" customHeight="1" x14ac:dyDescent="0.2">
      <c r="A292" s="50"/>
      <c r="B292" s="45"/>
      <c r="C292" s="37"/>
      <c r="D292" s="1"/>
      <c r="E292" s="3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4.25" customHeight="1" x14ac:dyDescent="0.2">
      <c r="A293" s="50"/>
      <c r="B293" s="45"/>
      <c r="C293" s="37"/>
      <c r="D293" s="1"/>
      <c r="E293" s="3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4.25" customHeight="1" x14ac:dyDescent="0.2">
      <c r="A294" s="50"/>
      <c r="B294" s="45"/>
      <c r="C294" s="37"/>
      <c r="D294" s="1"/>
      <c r="E294" s="3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4.25" customHeight="1" x14ac:dyDescent="0.2">
      <c r="B295" s="53"/>
    </row>
    <row r="296" spans="1:23" ht="14.25" customHeight="1" x14ac:dyDescent="0.2">
      <c r="B296" s="53"/>
    </row>
    <row r="297" spans="1:23" ht="14.25" customHeight="1" x14ac:dyDescent="0.2">
      <c r="B297" s="53"/>
    </row>
    <row r="298" spans="1:23" ht="14.25" customHeight="1" x14ac:dyDescent="0.2">
      <c r="B298" s="53"/>
    </row>
    <row r="299" spans="1:23" ht="14.25" customHeight="1" x14ac:dyDescent="0.2">
      <c r="B299" s="53"/>
    </row>
    <row r="300" spans="1:23" ht="14.25" customHeight="1" x14ac:dyDescent="0.2">
      <c r="B300" s="53"/>
    </row>
    <row r="301" spans="1:23" ht="14.25" customHeight="1" x14ac:dyDescent="0.2">
      <c r="B301" s="53"/>
    </row>
    <row r="302" spans="1:23" ht="14.25" customHeight="1" x14ac:dyDescent="0.2">
      <c r="B302" s="53"/>
    </row>
    <row r="303" spans="1:23" ht="14.25" customHeight="1" x14ac:dyDescent="0.2">
      <c r="B303" s="53"/>
    </row>
    <row r="304" spans="1:23" ht="14.25" customHeight="1" x14ac:dyDescent="0.2">
      <c r="B304" s="53"/>
    </row>
    <row r="305" spans="2:2" ht="14.25" customHeight="1" x14ac:dyDescent="0.2">
      <c r="B305" s="53"/>
    </row>
    <row r="306" spans="2:2" ht="14.25" customHeight="1" x14ac:dyDescent="0.2">
      <c r="B306" s="53"/>
    </row>
    <row r="307" spans="2:2" ht="14.25" customHeight="1" x14ac:dyDescent="0.2">
      <c r="B307" s="53"/>
    </row>
    <row r="308" spans="2:2" ht="14.25" customHeight="1" x14ac:dyDescent="0.2">
      <c r="B308" s="53"/>
    </row>
    <row r="309" spans="2:2" ht="14.25" customHeight="1" x14ac:dyDescent="0.2">
      <c r="B309" s="53"/>
    </row>
    <row r="310" spans="2:2" ht="14.25" customHeight="1" x14ac:dyDescent="0.2">
      <c r="B310" s="53"/>
    </row>
    <row r="311" spans="2:2" ht="14.25" customHeight="1" x14ac:dyDescent="0.2">
      <c r="B311" s="53"/>
    </row>
    <row r="312" spans="2:2" ht="14.25" customHeight="1" x14ac:dyDescent="0.2">
      <c r="B312" s="53"/>
    </row>
    <row r="313" spans="2:2" ht="14.25" customHeight="1" x14ac:dyDescent="0.2">
      <c r="B313" s="53"/>
    </row>
    <row r="314" spans="2:2" ht="14.25" customHeight="1" x14ac:dyDescent="0.2">
      <c r="B314" s="53"/>
    </row>
    <row r="315" spans="2:2" ht="14.25" customHeight="1" x14ac:dyDescent="0.2">
      <c r="B315" s="53"/>
    </row>
    <row r="316" spans="2:2" ht="14.25" customHeight="1" x14ac:dyDescent="0.2">
      <c r="B316" s="53"/>
    </row>
    <row r="317" spans="2:2" ht="14.25" customHeight="1" x14ac:dyDescent="0.2">
      <c r="B317" s="53"/>
    </row>
    <row r="318" spans="2:2" ht="14.25" customHeight="1" x14ac:dyDescent="0.2">
      <c r="B318" s="53"/>
    </row>
    <row r="319" spans="2:2" ht="14.25" customHeight="1" x14ac:dyDescent="0.2">
      <c r="B319" s="53"/>
    </row>
    <row r="320" spans="2:2" ht="14.25" customHeight="1" x14ac:dyDescent="0.2">
      <c r="B320" s="53"/>
    </row>
    <row r="321" spans="2:2" ht="14.25" customHeight="1" x14ac:dyDescent="0.2">
      <c r="B321" s="53"/>
    </row>
    <row r="322" spans="2:2" ht="14.25" customHeight="1" x14ac:dyDescent="0.2">
      <c r="B322" s="53"/>
    </row>
    <row r="323" spans="2:2" ht="14.25" customHeight="1" x14ac:dyDescent="0.2">
      <c r="B323" s="53"/>
    </row>
    <row r="324" spans="2:2" ht="14.25" customHeight="1" x14ac:dyDescent="0.2">
      <c r="B324" s="53"/>
    </row>
    <row r="325" spans="2:2" ht="14.25" customHeight="1" x14ac:dyDescent="0.2">
      <c r="B325" s="53"/>
    </row>
    <row r="326" spans="2:2" ht="14.25" customHeight="1" x14ac:dyDescent="0.2">
      <c r="B326" s="53"/>
    </row>
    <row r="327" spans="2:2" ht="14.25" customHeight="1" x14ac:dyDescent="0.2">
      <c r="B327" s="53"/>
    </row>
    <row r="328" spans="2:2" ht="14.25" customHeight="1" x14ac:dyDescent="0.2">
      <c r="B328" s="53"/>
    </row>
    <row r="329" spans="2:2" ht="14.25" customHeight="1" x14ac:dyDescent="0.2">
      <c r="B329" s="53"/>
    </row>
    <row r="330" spans="2:2" ht="14.25" customHeight="1" x14ac:dyDescent="0.2">
      <c r="B330" s="53"/>
    </row>
    <row r="331" spans="2:2" ht="14.25" customHeight="1" x14ac:dyDescent="0.2">
      <c r="B331" s="53"/>
    </row>
    <row r="332" spans="2:2" ht="14.25" customHeight="1" x14ac:dyDescent="0.2">
      <c r="B332" s="53"/>
    </row>
    <row r="333" spans="2:2" ht="14.25" customHeight="1" x14ac:dyDescent="0.2">
      <c r="B333" s="53"/>
    </row>
    <row r="334" spans="2:2" ht="14.25" customHeight="1" x14ac:dyDescent="0.2">
      <c r="B334" s="53"/>
    </row>
    <row r="335" spans="2:2" ht="14.25" customHeight="1" x14ac:dyDescent="0.2">
      <c r="B335" s="53"/>
    </row>
    <row r="336" spans="2:2" ht="14.25" customHeight="1" x14ac:dyDescent="0.2">
      <c r="B336" s="53"/>
    </row>
    <row r="337" spans="2:2" ht="14.25" customHeight="1" x14ac:dyDescent="0.2">
      <c r="B337" s="53"/>
    </row>
    <row r="338" spans="2:2" ht="14.25" customHeight="1" x14ac:dyDescent="0.2">
      <c r="B338" s="53"/>
    </row>
    <row r="339" spans="2:2" ht="14.25" customHeight="1" x14ac:dyDescent="0.2">
      <c r="B339" s="53"/>
    </row>
    <row r="340" spans="2:2" ht="14.25" customHeight="1" x14ac:dyDescent="0.2">
      <c r="B340" s="53"/>
    </row>
    <row r="341" spans="2:2" ht="14.25" customHeight="1" x14ac:dyDescent="0.2">
      <c r="B341" s="53"/>
    </row>
    <row r="342" spans="2:2" ht="14.25" customHeight="1" x14ac:dyDescent="0.2">
      <c r="B342" s="53"/>
    </row>
    <row r="343" spans="2:2" ht="14.25" customHeight="1" x14ac:dyDescent="0.2">
      <c r="B343" s="53"/>
    </row>
    <row r="344" spans="2:2" ht="14.25" customHeight="1" x14ac:dyDescent="0.2">
      <c r="B344" s="53"/>
    </row>
    <row r="345" spans="2:2" ht="14.25" customHeight="1" x14ac:dyDescent="0.2">
      <c r="B345" s="53"/>
    </row>
    <row r="346" spans="2:2" ht="14.25" customHeight="1" x14ac:dyDescent="0.2">
      <c r="B346" s="53"/>
    </row>
    <row r="347" spans="2:2" ht="14.25" customHeight="1" x14ac:dyDescent="0.2">
      <c r="B347" s="53"/>
    </row>
    <row r="348" spans="2:2" ht="14.25" customHeight="1" x14ac:dyDescent="0.2">
      <c r="B348" s="53"/>
    </row>
    <row r="349" spans="2:2" ht="14.25" customHeight="1" x14ac:dyDescent="0.2">
      <c r="B349" s="53"/>
    </row>
    <row r="350" spans="2:2" ht="14.25" customHeight="1" x14ac:dyDescent="0.2">
      <c r="B350" s="53"/>
    </row>
    <row r="351" spans="2:2" ht="14.25" customHeight="1" x14ac:dyDescent="0.2">
      <c r="B351" s="53"/>
    </row>
    <row r="352" spans="2:2" ht="14.25" customHeight="1" x14ac:dyDescent="0.2">
      <c r="B352" s="53"/>
    </row>
    <row r="353" spans="2:2" ht="14.25" customHeight="1" x14ac:dyDescent="0.2">
      <c r="B353" s="53"/>
    </row>
    <row r="354" spans="2:2" ht="14.25" customHeight="1" x14ac:dyDescent="0.2">
      <c r="B354" s="53"/>
    </row>
    <row r="355" spans="2:2" ht="14.25" customHeight="1" x14ac:dyDescent="0.2">
      <c r="B355" s="53"/>
    </row>
    <row r="356" spans="2:2" ht="14.25" customHeight="1" x14ac:dyDescent="0.2">
      <c r="B356" s="53"/>
    </row>
    <row r="357" spans="2:2" ht="14.25" customHeight="1" x14ac:dyDescent="0.2">
      <c r="B357" s="53"/>
    </row>
    <row r="358" spans="2:2" ht="14.25" customHeight="1" x14ac:dyDescent="0.2">
      <c r="B358" s="53"/>
    </row>
    <row r="359" spans="2:2" ht="14.25" customHeight="1" x14ac:dyDescent="0.2">
      <c r="B359" s="53"/>
    </row>
    <row r="360" spans="2:2" ht="14.25" customHeight="1" x14ac:dyDescent="0.2">
      <c r="B360" s="53"/>
    </row>
    <row r="361" spans="2:2" ht="14.25" customHeight="1" x14ac:dyDescent="0.2">
      <c r="B361" s="53"/>
    </row>
    <row r="362" spans="2:2" ht="14.25" customHeight="1" x14ac:dyDescent="0.2">
      <c r="B362" s="53"/>
    </row>
    <row r="363" spans="2:2" ht="14.25" customHeight="1" x14ac:dyDescent="0.2">
      <c r="B363" s="53"/>
    </row>
    <row r="364" spans="2:2" ht="14.25" customHeight="1" x14ac:dyDescent="0.2">
      <c r="B364" s="53"/>
    </row>
    <row r="365" spans="2:2" ht="14.25" customHeight="1" x14ac:dyDescent="0.2">
      <c r="B365" s="53"/>
    </row>
    <row r="366" spans="2:2" ht="14.25" customHeight="1" x14ac:dyDescent="0.2">
      <c r="B366" s="53"/>
    </row>
    <row r="367" spans="2:2" ht="14.25" customHeight="1" x14ac:dyDescent="0.2">
      <c r="B367" s="53"/>
    </row>
    <row r="368" spans="2:2" ht="14.25" customHeight="1" x14ac:dyDescent="0.2">
      <c r="B368" s="53"/>
    </row>
    <row r="369" spans="2:2" ht="14.25" customHeight="1" x14ac:dyDescent="0.2">
      <c r="B369" s="53"/>
    </row>
    <row r="370" spans="2:2" ht="14.25" customHeight="1" x14ac:dyDescent="0.2">
      <c r="B370" s="53"/>
    </row>
    <row r="371" spans="2:2" ht="14.25" customHeight="1" x14ac:dyDescent="0.2">
      <c r="B371" s="53"/>
    </row>
    <row r="372" spans="2:2" ht="14.25" customHeight="1" x14ac:dyDescent="0.2">
      <c r="B372" s="53"/>
    </row>
    <row r="373" spans="2:2" ht="14.25" customHeight="1" x14ac:dyDescent="0.2">
      <c r="B373" s="53"/>
    </row>
    <row r="374" spans="2:2" ht="14.25" customHeight="1" x14ac:dyDescent="0.2">
      <c r="B374" s="53"/>
    </row>
    <row r="375" spans="2:2" ht="14.25" customHeight="1" x14ac:dyDescent="0.2">
      <c r="B375" s="53"/>
    </row>
    <row r="376" spans="2:2" ht="14.25" customHeight="1" x14ac:dyDescent="0.2">
      <c r="B376" s="53"/>
    </row>
    <row r="377" spans="2:2" ht="14.25" customHeight="1" x14ac:dyDescent="0.2">
      <c r="B377" s="53"/>
    </row>
    <row r="378" spans="2:2" ht="14.25" customHeight="1" x14ac:dyDescent="0.2">
      <c r="B378" s="53"/>
    </row>
    <row r="379" spans="2:2" ht="14.25" customHeight="1" x14ac:dyDescent="0.2">
      <c r="B379" s="53"/>
    </row>
    <row r="380" spans="2:2" ht="14.25" customHeight="1" x14ac:dyDescent="0.2">
      <c r="B380" s="53"/>
    </row>
    <row r="381" spans="2:2" ht="14.25" customHeight="1" x14ac:dyDescent="0.2">
      <c r="B381" s="53"/>
    </row>
    <row r="382" spans="2:2" ht="14.25" customHeight="1" x14ac:dyDescent="0.2">
      <c r="B382" s="53"/>
    </row>
    <row r="383" spans="2:2" ht="14.25" customHeight="1" x14ac:dyDescent="0.2">
      <c r="B383" s="53"/>
    </row>
    <row r="384" spans="2:2" ht="14.25" customHeight="1" x14ac:dyDescent="0.2">
      <c r="B384" s="53"/>
    </row>
    <row r="385" spans="2:2" ht="14.25" customHeight="1" x14ac:dyDescent="0.2">
      <c r="B385" s="53"/>
    </row>
    <row r="386" spans="2:2" ht="14.25" customHeight="1" x14ac:dyDescent="0.2">
      <c r="B386" s="53"/>
    </row>
    <row r="387" spans="2:2" ht="14.25" customHeight="1" x14ac:dyDescent="0.2">
      <c r="B387" s="53"/>
    </row>
    <row r="388" spans="2:2" ht="14.25" customHeight="1" x14ac:dyDescent="0.2">
      <c r="B388" s="53"/>
    </row>
    <row r="389" spans="2:2" ht="14.25" customHeight="1" x14ac:dyDescent="0.2">
      <c r="B389" s="53"/>
    </row>
    <row r="390" spans="2:2" ht="14.25" customHeight="1" x14ac:dyDescent="0.2">
      <c r="B390" s="53"/>
    </row>
    <row r="391" spans="2:2" ht="14.25" customHeight="1" x14ac:dyDescent="0.2">
      <c r="B391" s="53"/>
    </row>
    <row r="392" spans="2:2" ht="14.25" customHeight="1" x14ac:dyDescent="0.2">
      <c r="B392" s="53"/>
    </row>
    <row r="393" spans="2:2" ht="14.25" customHeight="1" x14ac:dyDescent="0.2">
      <c r="B393" s="53"/>
    </row>
    <row r="394" spans="2:2" ht="14.25" customHeight="1" x14ac:dyDescent="0.2">
      <c r="B394" s="53"/>
    </row>
    <row r="395" spans="2:2" ht="14.25" customHeight="1" x14ac:dyDescent="0.2">
      <c r="B395" s="53"/>
    </row>
    <row r="396" spans="2:2" ht="14.25" customHeight="1" x14ac:dyDescent="0.2">
      <c r="B396" s="53"/>
    </row>
    <row r="397" spans="2:2" ht="14.25" customHeight="1" x14ac:dyDescent="0.2">
      <c r="B397" s="53"/>
    </row>
    <row r="398" spans="2:2" ht="14.25" customHeight="1" x14ac:dyDescent="0.2">
      <c r="B398" s="53"/>
    </row>
    <row r="399" spans="2:2" ht="14.25" customHeight="1" x14ac:dyDescent="0.2">
      <c r="B399" s="53"/>
    </row>
    <row r="400" spans="2:2" ht="14.25" customHeight="1" x14ac:dyDescent="0.2">
      <c r="B400" s="53"/>
    </row>
    <row r="401" spans="2:2" ht="14.25" customHeight="1" x14ac:dyDescent="0.2">
      <c r="B401" s="53"/>
    </row>
    <row r="402" spans="2:2" ht="14.25" customHeight="1" x14ac:dyDescent="0.2">
      <c r="B402" s="53"/>
    </row>
    <row r="403" spans="2:2" ht="14.25" customHeight="1" x14ac:dyDescent="0.2">
      <c r="B403" s="53"/>
    </row>
    <row r="404" spans="2:2" ht="14.25" customHeight="1" x14ac:dyDescent="0.2">
      <c r="B404" s="53"/>
    </row>
    <row r="405" spans="2:2" ht="14.25" customHeight="1" x14ac:dyDescent="0.2">
      <c r="B405" s="53"/>
    </row>
    <row r="406" spans="2:2" ht="14.25" customHeight="1" x14ac:dyDescent="0.2">
      <c r="B406" s="53"/>
    </row>
    <row r="407" spans="2:2" ht="14.25" customHeight="1" x14ac:dyDescent="0.2">
      <c r="B407" s="53"/>
    </row>
    <row r="408" spans="2:2" ht="14.25" customHeight="1" x14ac:dyDescent="0.2">
      <c r="B408" s="53"/>
    </row>
    <row r="409" spans="2:2" ht="14.25" customHeight="1" x14ac:dyDescent="0.2">
      <c r="B409" s="53"/>
    </row>
    <row r="410" spans="2:2" ht="14.25" customHeight="1" x14ac:dyDescent="0.2">
      <c r="B410" s="53"/>
    </row>
    <row r="411" spans="2:2" ht="14.25" customHeight="1" x14ac:dyDescent="0.2">
      <c r="B411" s="53"/>
    </row>
    <row r="412" spans="2:2" ht="14.25" customHeight="1" x14ac:dyDescent="0.2">
      <c r="B412" s="53"/>
    </row>
    <row r="413" spans="2:2" ht="14.25" customHeight="1" x14ac:dyDescent="0.2">
      <c r="B413" s="53"/>
    </row>
    <row r="414" spans="2:2" ht="14.25" customHeight="1" x14ac:dyDescent="0.2">
      <c r="B414" s="53"/>
    </row>
    <row r="415" spans="2:2" ht="14.25" customHeight="1" x14ac:dyDescent="0.2">
      <c r="B415" s="53"/>
    </row>
    <row r="416" spans="2:2" ht="14.25" customHeight="1" x14ac:dyDescent="0.2">
      <c r="B416" s="53"/>
    </row>
    <row r="417" spans="2:2" ht="14.25" customHeight="1" x14ac:dyDescent="0.2">
      <c r="B417" s="53"/>
    </row>
    <row r="418" spans="2:2" ht="14.25" customHeight="1" x14ac:dyDescent="0.2">
      <c r="B418" s="53"/>
    </row>
    <row r="419" spans="2:2" ht="14.25" customHeight="1" x14ac:dyDescent="0.2">
      <c r="B419" s="53"/>
    </row>
    <row r="420" spans="2:2" ht="14.25" customHeight="1" x14ac:dyDescent="0.2">
      <c r="B420" s="53"/>
    </row>
    <row r="421" spans="2:2" ht="14.25" customHeight="1" x14ac:dyDescent="0.2">
      <c r="B421" s="53"/>
    </row>
    <row r="422" spans="2:2" ht="14.25" customHeight="1" x14ac:dyDescent="0.2">
      <c r="B422" s="53"/>
    </row>
    <row r="423" spans="2:2" ht="14.25" customHeight="1" x14ac:dyDescent="0.2">
      <c r="B423" s="53"/>
    </row>
    <row r="424" spans="2:2" ht="14.25" customHeight="1" x14ac:dyDescent="0.2">
      <c r="B424" s="53"/>
    </row>
    <row r="425" spans="2:2" ht="14.25" customHeight="1" x14ac:dyDescent="0.2">
      <c r="B425" s="53"/>
    </row>
    <row r="426" spans="2:2" ht="14.25" customHeight="1" x14ac:dyDescent="0.2">
      <c r="B426" s="53"/>
    </row>
    <row r="427" spans="2:2" ht="14.25" customHeight="1" x14ac:dyDescent="0.2">
      <c r="B427" s="53"/>
    </row>
    <row r="428" spans="2:2" ht="14.25" customHeight="1" x14ac:dyDescent="0.2">
      <c r="B428" s="53"/>
    </row>
    <row r="429" spans="2:2" ht="14.25" customHeight="1" x14ac:dyDescent="0.2">
      <c r="B429" s="53"/>
    </row>
    <row r="430" spans="2:2" ht="14.25" customHeight="1" x14ac:dyDescent="0.2">
      <c r="B430" s="53"/>
    </row>
    <row r="431" spans="2:2" ht="14.25" customHeight="1" x14ac:dyDescent="0.2">
      <c r="B431" s="53"/>
    </row>
    <row r="432" spans="2:2" ht="14.25" customHeight="1" x14ac:dyDescent="0.2">
      <c r="B432" s="53"/>
    </row>
    <row r="433" spans="2:2" ht="14.25" customHeight="1" x14ac:dyDescent="0.2">
      <c r="B433" s="53"/>
    </row>
    <row r="434" spans="2:2" ht="14.25" customHeight="1" x14ac:dyDescent="0.2">
      <c r="B434" s="53"/>
    </row>
    <row r="435" spans="2:2" ht="14.25" customHeight="1" x14ac:dyDescent="0.2">
      <c r="B435" s="53"/>
    </row>
    <row r="436" spans="2:2" ht="14.25" customHeight="1" x14ac:dyDescent="0.2">
      <c r="B436" s="53"/>
    </row>
    <row r="437" spans="2:2" ht="14.25" customHeight="1" x14ac:dyDescent="0.2">
      <c r="B437" s="53"/>
    </row>
    <row r="438" spans="2:2" ht="14.25" customHeight="1" x14ac:dyDescent="0.2">
      <c r="B438" s="53"/>
    </row>
    <row r="439" spans="2:2" ht="14.25" customHeight="1" x14ac:dyDescent="0.2">
      <c r="B439" s="53"/>
    </row>
    <row r="440" spans="2:2" ht="14.25" customHeight="1" x14ac:dyDescent="0.2">
      <c r="B440" s="53"/>
    </row>
    <row r="441" spans="2:2" ht="14.25" customHeight="1" x14ac:dyDescent="0.2">
      <c r="B441" s="53"/>
    </row>
    <row r="442" spans="2:2" ht="14.25" customHeight="1" x14ac:dyDescent="0.2">
      <c r="B442" s="53"/>
    </row>
    <row r="443" spans="2:2" ht="14.25" customHeight="1" x14ac:dyDescent="0.2">
      <c r="B443" s="53"/>
    </row>
    <row r="444" spans="2:2" ht="14.25" customHeight="1" x14ac:dyDescent="0.2">
      <c r="B444" s="53"/>
    </row>
    <row r="445" spans="2:2" ht="14.25" customHeight="1" x14ac:dyDescent="0.2">
      <c r="B445" s="53"/>
    </row>
    <row r="446" spans="2:2" ht="14.25" customHeight="1" x14ac:dyDescent="0.2">
      <c r="B446" s="53"/>
    </row>
    <row r="447" spans="2:2" ht="14.25" customHeight="1" x14ac:dyDescent="0.2">
      <c r="B447" s="53"/>
    </row>
    <row r="448" spans="2:2" ht="14.25" customHeight="1" x14ac:dyDescent="0.2">
      <c r="B448" s="53"/>
    </row>
    <row r="449" spans="2:2" ht="14.25" customHeight="1" x14ac:dyDescent="0.2">
      <c r="B449" s="53"/>
    </row>
    <row r="450" spans="2:2" ht="14.25" customHeight="1" x14ac:dyDescent="0.2">
      <c r="B450" s="53"/>
    </row>
    <row r="451" spans="2:2" ht="14.25" customHeight="1" x14ac:dyDescent="0.2">
      <c r="B451" s="53"/>
    </row>
    <row r="452" spans="2:2" ht="14.25" customHeight="1" x14ac:dyDescent="0.2">
      <c r="B452" s="53"/>
    </row>
    <row r="453" spans="2:2" ht="14.25" customHeight="1" x14ac:dyDescent="0.2">
      <c r="B453" s="53"/>
    </row>
    <row r="454" spans="2:2" ht="14.25" customHeight="1" x14ac:dyDescent="0.2">
      <c r="B454" s="53"/>
    </row>
    <row r="455" spans="2:2" ht="14.25" customHeight="1" x14ac:dyDescent="0.2">
      <c r="B455" s="53"/>
    </row>
    <row r="456" spans="2:2" ht="14.25" customHeight="1" x14ac:dyDescent="0.2">
      <c r="B456" s="53"/>
    </row>
    <row r="457" spans="2:2" ht="14.25" customHeight="1" x14ac:dyDescent="0.2">
      <c r="B457" s="53"/>
    </row>
    <row r="458" spans="2:2" ht="14.25" customHeight="1" x14ac:dyDescent="0.2">
      <c r="B458" s="53"/>
    </row>
    <row r="459" spans="2:2" ht="14.25" customHeight="1" x14ac:dyDescent="0.2">
      <c r="B459" s="53"/>
    </row>
    <row r="460" spans="2:2" ht="14.25" customHeight="1" x14ac:dyDescent="0.2">
      <c r="B460" s="53"/>
    </row>
    <row r="461" spans="2:2" ht="14.25" customHeight="1" x14ac:dyDescent="0.2">
      <c r="B461" s="53"/>
    </row>
    <row r="462" spans="2:2" ht="14.25" customHeight="1" x14ac:dyDescent="0.2">
      <c r="B462" s="53"/>
    </row>
    <row r="463" spans="2:2" ht="14.25" customHeight="1" x14ac:dyDescent="0.2">
      <c r="B463" s="53"/>
    </row>
    <row r="464" spans="2:2" ht="14.25" customHeight="1" x14ac:dyDescent="0.2">
      <c r="B464" s="53"/>
    </row>
    <row r="465" spans="2:2" ht="14.25" customHeight="1" x14ac:dyDescent="0.2">
      <c r="B465" s="53"/>
    </row>
    <row r="466" spans="2:2" ht="14.25" customHeight="1" x14ac:dyDescent="0.2">
      <c r="B466" s="53"/>
    </row>
    <row r="467" spans="2:2" ht="14.25" customHeight="1" x14ac:dyDescent="0.2">
      <c r="B467" s="53"/>
    </row>
    <row r="468" spans="2:2" ht="14.25" customHeight="1" x14ac:dyDescent="0.2">
      <c r="B468" s="53"/>
    </row>
    <row r="469" spans="2:2" ht="14.25" customHeight="1" x14ac:dyDescent="0.2">
      <c r="B469" s="53"/>
    </row>
    <row r="470" spans="2:2" ht="14.25" customHeight="1" x14ac:dyDescent="0.2">
      <c r="B470" s="53"/>
    </row>
    <row r="471" spans="2:2" ht="14.25" customHeight="1" x14ac:dyDescent="0.2">
      <c r="B471" s="53"/>
    </row>
    <row r="472" spans="2:2" ht="14.25" customHeight="1" x14ac:dyDescent="0.2">
      <c r="B472" s="53"/>
    </row>
    <row r="473" spans="2:2" ht="14.25" customHeight="1" x14ac:dyDescent="0.2">
      <c r="B473" s="53"/>
    </row>
    <row r="474" spans="2:2" ht="14.25" customHeight="1" x14ac:dyDescent="0.2">
      <c r="B474" s="53"/>
    </row>
    <row r="475" spans="2:2" ht="14.25" customHeight="1" x14ac:dyDescent="0.2">
      <c r="B475" s="53"/>
    </row>
    <row r="476" spans="2:2" ht="14.25" customHeight="1" x14ac:dyDescent="0.2">
      <c r="B476" s="53"/>
    </row>
    <row r="477" spans="2:2" ht="14.25" customHeight="1" x14ac:dyDescent="0.2">
      <c r="B477" s="53"/>
    </row>
    <row r="478" spans="2:2" ht="14.25" customHeight="1" x14ac:dyDescent="0.2">
      <c r="B478" s="53"/>
    </row>
    <row r="479" spans="2:2" ht="14.25" customHeight="1" x14ac:dyDescent="0.2">
      <c r="B479" s="53"/>
    </row>
    <row r="480" spans="2:2" ht="14.25" customHeight="1" x14ac:dyDescent="0.2">
      <c r="B480" s="53"/>
    </row>
    <row r="481" spans="2:2" ht="14.25" customHeight="1" x14ac:dyDescent="0.2">
      <c r="B481" s="53"/>
    </row>
    <row r="482" spans="2:2" ht="14.25" customHeight="1" x14ac:dyDescent="0.2">
      <c r="B482" s="53"/>
    </row>
    <row r="483" spans="2:2" ht="14.25" customHeight="1" x14ac:dyDescent="0.2">
      <c r="B483" s="53"/>
    </row>
    <row r="484" spans="2:2" ht="14.25" customHeight="1" x14ac:dyDescent="0.2">
      <c r="B484" s="53"/>
    </row>
    <row r="485" spans="2:2" ht="14.25" customHeight="1" x14ac:dyDescent="0.2">
      <c r="B485" s="53"/>
    </row>
    <row r="486" spans="2:2" ht="14.25" customHeight="1" x14ac:dyDescent="0.2">
      <c r="B486" s="53"/>
    </row>
    <row r="487" spans="2:2" ht="14.25" customHeight="1" x14ac:dyDescent="0.2">
      <c r="B487" s="53"/>
    </row>
    <row r="488" spans="2:2" ht="14.25" customHeight="1" x14ac:dyDescent="0.2">
      <c r="B488" s="53"/>
    </row>
    <row r="489" spans="2:2" ht="14.25" customHeight="1" x14ac:dyDescent="0.2">
      <c r="B489" s="53"/>
    </row>
    <row r="490" spans="2:2" ht="14.25" customHeight="1" x14ac:dyDescent="0.2">
      <c r="B490" s="53"/>
    </row>
    <row r="491" spans="2:2" ht="14.25" customHeight="1" x14ac:dyDescent="0.2">
      <c r="B491" s="53"/>
    </row>
    <row r="492" spans="2:2" ht="14.25" customHeight="1" x14ac:dyDescent="0.2">
      <c r="B492" s="53"/>
    </row>
    <row r="493" spans="2:2" ht="14.25" customHeight="1" x14ac:dyDescent="0.2">
      <c r="B493" s="53"/>
    </row>
    <row r="494" spans="2:2" ht="14.25" customHeight="1" x14ac:dyDescent="0.2">
      <c r="B494" s="53"/>
    </row>
    <row r="495" spans="2:2" ht="14.25" customHeight="1" x14ac:dyDescent="0.2">
      <c r="B495" s="53"/>
    </row>
    <row r="496" spans="2:2" ht="14.25" customHeight="1" x14ac:dyDescent="0.2">
      <c r="B496" s="53"/>
    </row>
    <row r="497" spans="2:2" ht="14.25" customHeight="1" x14ac:dyDescent="0.2">
      <c r="B497" s="53"/>
    </row>
    <row r="498" spans="2:2" ht="14.25" customHeight="1" x14ac:dyDescent="0.2">
      <c r="B498" s="53"/>
    </row>
    <row r="499" spans="2:2" ht="14.25" customHeight="1" x14ac:dyDescent="0.2">
      <c r="B499" s="53"/>
    </row>
    <row r="500" spans="2:2" ht="14.25" customHeight="1" x14ac:dyDescent="0.2">
      <c r="B500" s="53"/>
    </row>
    <row r="501" spans="2:2" ht="14.25" customHeight="1" x14ac:dyDescent="0.2">
      <c r="B501" s="53"/>
    </row>
    <row r="502" spans="2:2" ht="14.25" customHeight="1" x14ac:dyDescent="0.2">
      <c r="B502" s="53"/>
    </row>
    <row r="503" spans="2:2" ht="14.25" customHeight="1" x14ac:dyDescent="0.2">
      <c r="B503" s="53"/>
    </row>
    <row r="504" spans="2:2" ht="14.25" customHeight="1" x14ac:dyDescent="0.2">
      <c r="B504" s="53"/>
    </row>
    <row r="505" spans="2:2" ht="14.25" customHeight="1" x14ac:dyDescent="0.2">
      <c r="B505" s="53"/>
    </row>
    <row r="506" spans="2:2" ht="14.25" customHeight="1" x14ac:dyDescent="0.2">
      <c r="B506" s="53"/>
    </row>
    <row r="507" spans="2:2" ht="14.25" customHeight="1" x14ac:dyDescent="0.2">
      <c r="B507" s="53"/>
    </row>
    <row r="508" spans="2:2" ht="14.25" customHeight="1" x14ac:dyDescent="0.2">
      <c r="B508" s="53"/>
    </row>
    <row r="509" spans="2:2" ht="14.25" customHeight="1" x14ac:dyDescent="0.2">
      <c r="B509" s="53"/>
    </row>
    <row r="510" spans="2:2" ht="14.25" customHeight="1" x14ac:dyDescent="0.2">
      <c r="B510" s="53"/>
    </row>
    <row r="511" spans="2:2" ht="14.25" customHeight="1" x14ac:dyDescent="0.2">
      <c r="B511" s="53"/>
    </row>
    <row r="512" spans="2:2" ht="14.25" customHeight="1" x14ac:dyDescent="0.2">
      <c r="B512" s="53"/>
    </row>
    <row r="513" spans="2:2" ht="14.25" customHeight="1" x14ac:dyDescent="0.2">
      <c r="B513" s="53"/>
    </row>
    <row r="514" spans="2:2" ht="14.25" customHeight="1" x14ac:dyDescent="0.2">
      <c r="B514" s="53"/>
    </row>
    <row r="515" spans="2:2" ht="14.25" customHeight="1" x14ac:dyDescent="0.2">
      <c r="B515" s="53"/>
    </row>
    <row r="516" spans="2:2" ht="14.25" customHeight="1" x14ac:dyDescent="0.2">
      <c r="B516" s="53"/>
    </row>
    <row r="517" spans="2:2" ht="14.25" customHeight="1" x14ac:dyDescent="0.2">
      <c r="B517" s="53"/>
    </row>
    <row r="518" spans="2:2" ht="14.25" customHeight="1" x14ac:dyDescent="0.2">
      <c r="B518" s="53"/>
    </row>
    <row r="519" spans="2:2" ht="14.25" customHeight="1" x14ac:dyDescent="0.2">
      <c r="B519" s="53"/>
    </row>
    <row r="520" spans="2:2" ht="14.25" customHeight="1" x14ac:dyDescent="0.2">
      <c r="B520" s="53"/>
    </row>
    <row r="521" spans="2:2" ht="14.25" customHeight="1" x14ac:dyDescent="0.2">
      <c r="B521" s="53"/>
    </row>
    <row r="522" spans="2:2" ht="14.25" customHeight="1" x14ac:dyDescent="0.2">
      <c r="B522" s="53"/>
    </row>
    <row r="523" spans="2:2" ht="14.25" customHeight="1" x14ac:dyDescent="0.2">
      <c r="B523" s="53"/>
    </row>
    <row r="524" spans="2:2" ht="14.25" customHeight="1" x14ac:dyDescent="0.2">
      <c r="B524" s="53"/>
    </row>
    <row r="525" spans="2:2" ht="14.25" customHeight="1" x14ac:dyDescent="0.2">
      <c r="B525" s="53"/>
    </row>
    <row r="526" spans="2:2" ht="14.25" customHeight="1" x14ac:dyDescent="0.2">
      <c r="B526" s="53"/>
    </row>
    <row r="527" spans="2:2" ht="14.25" customHeight="1" x14ac:dyDescent="0.2">
      <c r="B527" s="53"/>
    </row>
    <row r="528" spans="2:2" ht="14.25" customHeight="1" x14ac:dyDescent="0.2">
      <c r="B528" s="53"/>
    </row>
    <row r="529" spans="2:2" ht="14.25" customHeight="1" x14ac:dyDescent="0.2">
      <c r="B529" s="53"/>
    </row>
    <row r="530" spans="2:2" ht="14.25" customHeight="1" x14ac:dyDescent="0.2">
      <c r="B530" s="53"/>
    </row>
    <row r="531" spans="2:2" ht="14.25" customHeight="1" x14ac:dyDescent="0.2">
      <c r="B531" s="53"/>
    </row>
    <row r="532" spans="2:2" ht="14.25" customHeight="1" x14ac:dyDescent="0.2">
      <c r="B532" s="53"/>
    </row>
    <row r="533" spans="2:2" ht="14.25" customHeight="1" x14ac:dyDescent="0.2">
      <c r="B533" s="53"/>
    </row>
    <row r="534" spans="2:2" ht="14.25" customHeight="1" x14ac:dyDescent="0.2">
      <c r="B534" s="53"/>
    </row>
    <row r="535" spans="2:2" ht="14.25" customHeight="1" x14ac:dyDescent="0.2">
      <c r="B535" s="53"/>
    </row>
    <row r="536" spans="2:2" ht="14.25" customHeight="1" x14ac:dyDescent="0.2">
      <c r="B536" s="53"/>
    </row>
    <row r="537" spans="2:2" ht="14.25" customHeight="1" x14ac:dyDescent="0.2">
      <c r="B537" s="53"/>
    </row>
    <row r="538" spans="2:2" ht="14.25" customHeight="1" x14ac:dyDescent="0.2">
      <c r="B538" s="53"/>
    </row>
    <row r="539" spans="2:2" ht="14.25" customHeight="1" x14ac:dyDescent="0.2">
      <c r="B539" s="53"/>
    </row>
    <row r="540" spans="2:2" ht="14.25" customHeight="1" x14ac:dyDescent="0.2">
      <c r="B540" s="53"/>
    </row>
    <row r="541" spans="2:2" ht="14.25" customHeight="1" x14ac:dyDescent="0.2">
      <c r="B541" s="53"/>
    </row>
    <row r="542" spans="2:2" ht="14.25" customHeight="1" x14ac:dyDescent="0.2">
      <c r="B542" s="53"/>
    </row>
    <row r="543" spans="2:2" ht="14.25" customHeight="1" x14ac:dyDescent="0.2">
      <c r="B543" s="53"/>
    </row>
    <row r="544" spans="2:2" ht="14.25" customHeight="1" x14ac:dyDescent="0.2">
      <c r="B544" s="53"/>
    </row>
    <row r="545" spans="2:2" ht="14.25" customHeight="1" x14ac:dyDescent="0.2">
      <c r="B545" s="53"/>
    </row>
    <row r="546" spans="2:2" ht="14.25" customHeight="1" x14ac:dyDescent="0.2">
      <c r="B546" s="53"/>
    </row>
    <row r="547" spans="2:2" ht="14.25" customHeight="1" x14ac:dyDescent="0.2">
      <c r="B547" s="53"/>
    </row>
    <row r="548" spans="2:2" ht="14.25" customHeight="1" x14ac:dyDescent="0.2">
      <c r="B548" s="53"/>
    </row>
    <row r="549" spans="2:2" ht="14.25" customHeight="1" x14ac:dyDescent="0.2">
      <c r="B549" s="53"/>
    </row>
    <row r="550" spans="2:2" ht="14.25" customHeight="1" x14ac:dyDescent="0.2">
      <c r="B550" s="53"/>
    </row>
    <row r="551" spans="2:2" ht="14.25" customHeight="1" x14ac:dyDescent="0.2">
      <c r="B551" s="53"/>
    </row>
    <row r="552" spans="2:2" ht="14.25" customHeight="1" x14ac:dyDescent="0.2">
      <c r="B552" s="53"/>
    </row>
    <row r="553" spans="2:2" ht="14.25" customHeight="1" x14ac:dyDescent="0.2">
      <c r="B553" s="53"/>
    </row>
    <row r="554" spans="2:2" ht="14.25" customHeight="1" x14ac:dyDescent="0.2">
      <c r="B554" s="53"/>
    </row>
    <row r="555" spans="2:2" ht="14.25" customHeight="1" x14ac:dyDescent="0.2">
      <c r="B555" s="53"/>
    </row>
    <row r="556" spans="2:2" ht="14.25" customHeight="1" x14ac:dyDescent="0.2">
      <c r="B556" s="53"/>
    </row>
    <row r="557" spans="2:2" ht="14.25" customHeight="1" x14ac:dyDescent="0.2">
      <c r="B557" s="53"/>
    </row>
    <row r="558" spans="2:2" ht="14.25" customHeight="1" x14ac:dyDescent="0.2">
      <c r="B558" s="53"/>
    </row>
    <row r="559" spans="2:2" ht="14.25" customHeight="1" x14ac:dyDescent="0.2">
      <c r="B559" s="53"/>
    </row>
    <row r="560" spans="2:2" ht="14.25" customHeight="1" x14ac:dyDescent="0.2">
      <c r="B560" s="53"/>
    </row>
    <row r="561" spans="2:2" ht="14.25" customHeight="1" x14ac:dyDescent="0.2">
      <c r="B561" s="53"/>
    </row>
    <row r="562" spans="2:2" ht="14.25" customHeight="1" x14ac:dyDescent="0.2">
      <c r="B562" s="53"/>
    </row>
    <row r="563" spans="2:2" ht="14.25" customHeight="1" x14ac:dyDescent="0.2">
      <c r="B563" s="53"/>
    </row>
    <row r="564" spans="2:2" ht="14.25" customHeight="1" x14ac:dyDescent="0.2">
      <c r="B564" s="53"/>
    </row>
    <row r="565" spans="2:2" ht="14.25" customHeight="1" x14ac:dyDescent="0.2">
      <c r="B565" s="53"/>
    </row>
    <row r="566" spans="2:2" ht="14.25" customHeight="1" x14ac:dyDescent="0.2">
      <c r="B566" s="53"/>
    </row>
    <row r="567" spans="2:2" ht="14.25" customHeight="1" x14ac:dyDescent="0.2">
      <c r="B567" s="53"/>
    </row>
    <row r="568" spans="2:2" ht="14.25" customHeight="1" x14ac:dyDescent="0.2">
      <c r="B568" s="53"/>
    </row>
    <row r="569" spans="2:2" ht="14.25" customHeight="1" x14ac:dyDescent="0.2">
      <c r="B569" s="53"/>
    </row>
    <row r="570" spans="2:2" ht="14.25" customHeight="1" x14ac:dyDescent="0.2">
      <c r="B570" s="53"/>
    </row>
    <row r="571" spans="2:2" ht="14.25" customHeight="1" x14ac:dyDescent="0.2">
      <c r="B571" s="53"/>
    </row>
    <row r="572" spans="2:2" ht="14.25" customHeight="1" x14ac:dyDescent="0.2">
      <c r="B572" s="53"/>
    </row>
    <row r="573" spans="2:2" ht="14.25" customHeight="1" x14ac:dyDescent="0.2">
      <c r="B573" s="53"/>
    </row>
    <row r="574" spans="2:2" ht="14.25" customHeight="1" x14ac:dyDescent="0.2">
      <c r="B574" s="53"/>
    </row>
    <row r="575" spans="2:2" ht="14.25" customHeight="1" x14ac:dyDescent="0.2">
      <c r="B575" s="53"/>
    </row>
    <row r="576" spans="2:2" ht="14.25" customHeight="1" x14ac:dyDescent="0.2">
      <c r="B576" s="53"/>
    </row>
    <row r="577" spans="2:2" ht="14.25" customHeight="1" x14ac:dyDescent="0.2">
      <c r="B577" s="53"/>
    </row>
    <row r="578" spans="2:2" ht="14.25" customHeight="1" x14ac:dyDescent="0.2">
      <c r="B578" s="53"/>
    </row>
    <row r="579" spans="2:2" ht="14.25" customHeight="1" x14ac:dyDescent="0.2">
      <c r="B579" s="53"/>
    </row>
    <row r="580" spans="2:2" ht="14.25" customHeight="1" x14ac:dyDescent="0.2">
      <c r="B580" s="53"/>
    </row>
    <row r="581" spans="2:2" ht="14.25" customHeight="1" x14ac:dyDescent="0.2">
      <c r="B581" s="53"/>
    </row>
    <row r="582" spans="2:2" ht="14.25" customHeight="1" x14ac:dyDescent="0.2">
      <c r="B582" s="53"/>
    </row>
    <row r="583" spans="2:2" ht="14.25" customHeight="1" x14ac:dyDescent="0.2">
      <c r="B583" s="53"/>
    </row>
    <row r="584" spans="2:2" ht="14.25" customHeight="1" x14ac:dyDescent="0.2">
      <c r="B584" s="53"/>
    </row>
    <row r="585" spans="2:2" ht="14.25" customHeight="1" x14ac:dyDescent="0.2">
      <c r="B585" s="53"/>
    </row>
    <row r="586" spans="2:2" ht="14.25" customHeight="1" x14ac:dyDescent="0.2">
      <c r="B586" s="53"/>
    </row>
    <row r="587" spans="2:2" ht="14.25" customHeight="1" x14ac:dyDescent="0.2">
      <c r="B587" s="53"/>
    </row>
    <row r="588" spans="2:2" ht="14.25" customHeight="1" x14ac:dyDescent="0.2">
      <c r="B588" s="53"/>
    </row>
    <row r="589" spans="2:2" ht="14.25" customHeight="1" x14ac:dyDescent="0.2">
      <c r="B589" s="53"/>
    </row>
    <row r="590" spans="2:2" ht="14.25" customHeight="1" x14ac:dyDescent="0.2">
      <c r="B590" s="53"/>
    </row>
    <row r="591" spans="2:2" ht="14.25" customHeight="1" x14ac:dyDescent="0.2">
      <c r="B591" s="53"/>
    </row>
    <row r="592" spans="2:2" ht="14.25" customHeight="1" x14ac:dyDescent="0.2">
      <c r="B592" s="53"/>
    </row>
    <row r="593" spans="2:2" ht="14.25" customHeight="1" x14ac:dyDescent="0.2">
      <c r="B593" s="53"/>
    </row>
    <row r="594" spans="2:2" ht="14.25" customHeight="1" x14ac:dyDescent="0.2">
      <c r="B594" s="53"/>
    </row>
    <row r="595" spans="2:2" ht="14.25" customHeight="1" x14ac:dyDescent="0.2">
      <c r="B595" s="53"/>
    </row>
    <row r="596" spans="2:2" ht="14.25" customHeight="1" x14ac:dyDescent="0.2">
      <c r="B596" s="53"/>
    </row>
    <row r="597" spans="2:2" ht="14.25" customHeight="1" x14ac:dyDescent="0.2">
      <c r="B597" s="53"/>
    </row>
    <row r="598" spans="2:2" ht="14.25" customHeight="1" x14ac:dyDescent="0.2">
      <c r="B598" s="53"/>
    </row>
    <row r="599" spans="2:2" ht="14.25" customHeight="1" x14ac:dyDescent="0.2">
      <c r="B599" s="53"/>
    </row>
    <row r="600" spans="2:2" ht="14.25" customHeight="1" x14ac:dyDescent="0.2">
      <c r="B600" s="53"/>
    </row>
    <row r="601" spans="2:2" ht="14.25" customHeight="1" x14ac:dyDescent="0.2">
      <c r="B601" s="53"/>
    </row>
    <row r="602" spans="2:2" ht="14.25" customHeight="1" x14ac:dyDescent="0.2">
      <c r="B602" s="53"/>
    </row>
    <row r="603" spans="2:2" ht="14.25" customHeight="1" x14ac:dyDescent="0.2">
      <c r="B603" s="53"/>
    </row>
    <row r="604" spans="2:2" ht="14.25" customHeight="1" x14ac:dyDescent="0.2">
      <c r="B604" s="53"/>
    </row>
    <row r="605" spans="2:2" ht="14.25" customHeight="1" x14ac:dyDescent="0.2">
      <c r="B605" s="53"/>
    </row>
    <row r="606" spans="2:2" ht="14.25" customHeight="1" x14ac:dyDescent="0.2">
      <c r="B606" s="53"/>
    </row>
    <row r="607" spans="2:2" ht="14.25" customHeight="1" x14ac:dyDescent="0.2">
      <c r="B607" s="53"/>
    </row>
    <row r="608" spans="2:2" ht="14.25" customHeight="1" x14ac:dyDescent="0.2">
      <c r="B608" s="53"/>
    </row>
    <row r="609" spans="2:2" ht="14.25" customHeight="1" x14ac:dyDescent="0.2">
      <c r="B609" s="53"/>
    </row>
    <row r="610" spans="2:2" ht="14.25" customHeight="1" x14ac:dyDescent="0.2">
      <c r="B610" s="53"/>
    </row>
    <row r="611" spans="2:2" ht="14.25" customHeight="1" x14ac:dyDescent="0.2">
      <c r="B611" s="53"/>
    </row>
    <row r="612" spans="2:2" ht="14.25" customHeight="1" x14ac:dyDescent="0.2">
      <c r="B612" s="53"/>
    </row>
    <row r="613" spans="2:2" ht="14.25" customHeight="1" x14ac:dyDescent="0.2">
      <c r="B613" s="53"/>
    </row>
    <row r="614" spans="2:2" ht="14.25" customHeight="1" x14ac:dyDescent="0.2">
      <c r="B614" s="53"/>
    </row>
    <row r="615" spans="2:2" ht="14.25" customHeight="1" x14ac:dyDescent="0.2">
      <c r="B615" s="53"/>
    </row>
    <row r="616" spans="2:2" ht="14.25" customHeight="1" x14ac:dyDescent="0.2">
      <c r="B616" s="53"/>
    </row>
    <row r="617" spans="2:2" ht="14.25" customHeight="1" x14ac:dyDescent="0.2">
      <c r="B617" s="53"/>
    </row>
    <row r="618" spans="2:2" ht="14.25" customHeight="1" x14ac:dyDescent="0.2">
      <c r="B618" s="53"/>
    </row>
    <row r="619" spans="2:2" ht="14.25" customHeight="1" x14ac:dyDescent="0.2">
      <c r="B619" s="53"/>
    </row>
    <row r="620" spans="2:2" ht="14.25" customHeight="1" x14ac:dyDescent="0.2">
      <c r="B620" s="53"/>
    </row>
    <row r="621" spans="2:2" ht="14.25" customHeight="1" x14ac:dyDescent="0.2">
      <c r="B621" s="53"/>
    </row>
    <row r="622" spans="2:2" ht="14.25" customHeight="1" x14ac:dyDescent="0.2">
      <c r="B622" s="53"/>
    </row>
    <row r="623" spans="2:2" ht="14.25" customHeight="1" x14ac:dyDescent="0.2">
      <c r="B623" s="53"/>
    </row>
    <row r="624" spans="2:2" ht="14.25" customHeight="1" x14ac:dyDescent="0.2">
      <c r="B624" s="53"/>
    </row>
    <row r="625" spans="2:2" ht="14.25" customHeight="1" x14ac:dyDescent="0.2">
      <c r="B625" s="53"/>
    </row>
    <row r="626" spans="2:2" ht="14.25" customHeight="1" x14ac:dyDescent="0.2">
      <c r="B626" s="53"/>
    </row>
    <row r="627" spans="2:2" ht="14.25" customHeight="1" x14ac:dyDescent="0.2">
      <c r="B627" s="53"/>
    </row>
    <row r="628" spans="2:2" ht="14.25" customHeight="1" x14ac:dyDescent="0.2">
      <c r="B628" s="53"/>
    </row>
    <row r="629" spans="2:2" ht="14.25" customHeight="1" x14ac:dyDescent="0.2">
      <c r="B629" s="53"/>
    </row>
    <row r="630" spans="2:2" ht="14.25" customHeight="1" x14ac:dyDescent="0.2">
      <c r="B630" s="53"/>
    </row>
    <row r="631" spans="2:2" ht="14.25" customHeight="1" x14ac:dyDescent="0.2">
      <c r="B631" s="53"/>
    </row>
    <row r="632" spans="2:2" ht="14.25" customHeight="1" x14ac:dyDescent="0.2">
      <c r="B632" s="53"/>
    </row>
    <row r="633" spans="2:2" ht="14.25" customHeight="1" x14ac:dyDescent="0.2">
      <c r="B633" s="53"/>
    </row>
    <row r="634" spans="2:2" ht="14.25" customHeight="1" x14ac:dyDescent="0.2">
      <c r="B634" s="53"/>
    </row>
    <row r="635" spans="2:2" ht="14.25" customHeight="1" x14ac:dyDescent="0.2">
      <c r="B635" s="53"/>
    </row>
    <row r="636" spans="2:2" ht="14.25" customHeight="1" x14ac:dyDescent="0.2">
      <c r="B636" s="53"/>
    </row>
    <row r="637" spans="2:2" ht="14.25" customHeight="1" x14ac:dyDescent="0.2">
      <c r="B637" s="53"/>
    </row>
    <row r="638" spans="2:2" ht="14.25" customHeight="1" x14ac:dyDescent="0.2">
      <c r="B638" s="53"/>
    </row>
    <row r="639" spans="2:2" ht="14.25" customHeight="1" x14ac:dyDescent="0.2">
      <c r="B639" s="53"/>
    </row>
    <row r="640" spans="2:2" ht="14.25" customHeight="1" x14ac:dyDescent="0.2">
      <c r="B640" s="53"/>
    </row>
    <row r="641" spans="2:2" ht="14.25" customHeight="1" x14ac:dyDescent="0.2">
      <c r="B641" s="53"/>
    </row>
    <row r="642" spans="2:2" ht="14.25" customHeight="1" x14ac:dyDescent="0.2">
      <c r="B642" s="53"/>
    </row>
    <row r="643" spans="2:2" ht="14.25" customHeight="1" x14ac:dyDescent="0.2">
      <c r="B643" s="53"/>
    </row>
    <row r="644" spans="2:2" ht="14.25" customHeight="1" x14ac:dyDescent="0.2">
      <c r="B644" s="53"/>
    </row>
    <row r="645" spans="2:2" ht="14.25" customHeight="1" x14ac:dyDescent="0.2">
      <c r="B645" s="53"/>
    </row>
    <row r="646" spans="2:2" ht="14.25" customHeight="1" x14ac:dyDescent="0.2">
      <c r="B646" s="53"/>
    </row>
    <row r="647" spans="2:2" ht="14.25" customHeight="1" x14ac:dyDescent="0.2">
      <c r="B647" s="53"/>
    </row>
    <row r="648" spans="2:2" ht="14.25" customHeight="1" x14ac:dyDescent="0.2">
      <c r="B648" s="53"/>
    </row>
    <row r="649" spans="2:2" ht="14.25" customHeight="1" x14ac:dyDescent="0.2">
      <c r="B649" s="53"/>
    </row>
    <row r="650" spans="2:2" ht="14.25" customHeight="1" x14ac:dyDescent="0.2">
      <c r="B650" s="53"/>
    </row>
    <row r="651" spans="2:2" ht="14.25" customHeight="1" x14ac:dyDescent="0.2">
      <c r="B651" s="53"/>
    </row>
    <row r="652" spans="2:2" ht="14.25" customHeight="1" x14ac:dyDescent="0.2">
      <c r="B652" s="53"/>
    </row>
    <row r="653" spans="2:2" ht="14.25" customHeight="1" x14ac:dyDescent="0.2">
      <c r="B653" s="53"/>
    </row>
    <row r="654" spans="2:2" ht="14.25" customHeight="1" x14ac:dyDescent="0.2">
      <c r="B654" s="53"/>
    </row>
    <row r="655" spans="2:2" ht="14.25" customHeight="1" x14ac:dyDescent="0.2">
      <c r="B655" s="53"/>
    </row>
    <row r="656" spans="2:2" ht="14.25" customHeight="1" x14ac:dyDescent="0.2">
      <c r="B656" s="53"/>
    </row>
    <row r="657" spans="2:2" ht="14.25" customHeight="1" x14ac:dyDescent="0.2">
      <c r="B657" s="53"/>
    </row>
    <row r="658" spans="2:2" ht="14.25" customHeight="1" x14ac:dyDescent="0.2">
      <c r="B658" s="53"/>
    </row>
    <row r="659" spans="2:2" ht="14.25" customHeight="1" x14ac:dyDescent="0.2">
      <c r="B659" s="53"/>
    </row>
    <row r="660" spans="2:2" ht="14.25" customHeight="1" x14ac:dyDescent="0.2">
      <c r="B660" s="53"/>
    </row>
    <row r="661" spans="2:2" ht="14.25" customHeight="1" x14ac:dyDescent="0.2">
      <c r="B661" s="53"/>
    </row>
    <row r="662" spans="2:2" ht="14.25" customHeight="1" x14ac:dyDescent="0.2">
      <c r="B662" s="53"/>
    </row>
    <row r="663" spans="2:2" ht="14.25" customHeight="1" x14ac:dyDescent="0.2">
      <c r="B663" s="53"/>
    </row>
    <row r="664" spans="2:2" ht="14.25" customHeight="1" x14ac:dyDescent="0.2">
      <c r="B664" s="53"/>
    </row>
    <row r="665" spans="2:2" ht="14.25" customHeight="1" x14ac:dyDescent="0.2">
      <c r="B665" s="53"/>
    </row>
    <row r="666" spans="2:2" ht="14.25" customHeight="1" x14ac:dyDescent="0.2">
      <c r="B666" s="53"/>
    </row>
    <row r="667" spans="2:2" ht="14.25" customHeight="1" x14ac:dyDescent="0.2">
      <c r="B667" s="53"/>
    </row>
    <row r="668" spans="2:2" ht="14.25" customHeight="1" x14ac:dyDescent="0.2">
      <c r="B668" s="53"/>
    </row>
    <row r="669" spans="2:2" ht="14.25" customHeight="1" x14ac:dyDescent="0.2">
      <c r="B669" s="53"/>
    </row>
    <row r="670" spans="2:2" ht="14.25" customHeight="1" x14ac:dyDescent="0.2">
      <c r="B670" s="53"/>
    </row>
    <row r="671" spans="2:2" ht="14.25" customHeight="1" x14ac:dyDescent="0.2">
      <c r="B671" s="53"/>
    </row>
    <row r="672" spans="2:2" ht="14.25" customHeight="1" x14ac:dyDescent="0.2">
      <c r="B672" s="53"/>
    </row>
    <row r="673" spans="2:2" ht="14.25" customHeight="1" x14ac:dyDescent="0.2">
      <c r="B673" s="53"/>
    </row>
    <row r="674" spans="2:2" ht="14.25" customHeight="1" x14ac:dyDescent="0.2">
      <c r="B674" s="53"/>
    </row>
    <row r="675" spans="2:2" ht="14.25" customHeight="1" x14ac:dyDescent="0.2">
      <c r="B675" s="53"/>
    </row>
    <row r="676" spans="2:2" ht="14.25" customHeight="1" x14ac:dyDescent="0.2">
      <c r="B676" s="53"/>
    </row>
    <row r="677" spans="2:2" ht="14.25" customHeight="1" x14ac:dyDescent="0.2">
      <c r="B677" s="53"/>
    </row>
    <row r="678" spans="2:2" ht="14.25" customHeight="1" x14ac:dyDescent="0.2">
      <c r="B678" s="53"/>
    </row>
    <row r="679" spans="2:2" ht="14.25" customHeight="1" x14ac:dyDescent="0.2">
      <c r="B679" s="53"/>
    </row>
    <row r="680" spans="2:2" ht="14.25" customHeight="1" x14ac:dyDescent="0.2">
      <c r="B680" s="53"/>
    </row>
    <row r="681" spans="2:2" ht="14.25" customHeight="1" x14ac:dyDescent="0.2">
      <c r="B681" s="53"/>
    </row>
    <row r="682" spans="2:2" ht="14.25" customHeight="1" x14ac:dyDescent="0.2">
      <c r="B682" s="53"/>
    </row>
    <row r="683" spans="2:2" ht="14.25" customHeight="1" x14ac:dyDescent="0.2">
      <c r="B683" s="53"/>
    </row>
    <row r="684" spans="2:2" ht="14.25" customHeight="1" x14ac:dyDescent="0.2">
      <c r="B684" s="53"/>
    </row>
    <row r="685" spans="2:2" ht="14.25" customHeight="1" x14ac:dyDescent="0.2">
      <c r="B685" s="53"/>
    </row>
    <row r="686" spans="2:2" ht="14.25" customHeight="1" x14ac:dyDescent="0.2">
      <c r="B686" s="53"/>
    </row>
    <row r="687" spans="2:2" ht="14.25" customHeight="1" x14ac:dyDescent="0.2">
      <c r="B687" s="53"/>
    </row>
    <row r="688" spans="2:2" ht="14.25" customHeight="1" x14ac:dyDescent="0.2">
      <c r="B688" s="53"/>
    </row>
    <row r="689" spans="2:2" ht="14.25" customHeight="1" x14ac:dyDescent="0.2">
      <c r="B689" s="53"/>
    </row>
    <row r="690" spans="2:2" ht="14.25" customHeight="1" x14ac:dyDescent="0.2">
      <c r="B690" s="53"/>
    </row>
    <row r="691" spans="2:2" ht="14.25" customHeight="1" x14ac:dyDescent="0.2">
      <c r="B691" s="53"/>
    </row>
    <row r="692" spans="2:2" ht="14.25" customHeight="1" x14ac:dyDescent="0.2">
      <c r="B692" s="53"/>
    </row>
    <row r="693" spans="2:2" ht="14.25" customHeight="1" x14ac:dyDescent="0.2">
      <c r="B693" s="53"/>
    </row>
    <row r="694" spans="2:2" ht="14.25" customHeight="1" x14ac:dyDescent="0.2">
      <c r="B694" s="53"/>
    </row>
    <row r="695" spans="2:2" ht="14.25" customHeight="1" x14ac:dyDescent="0.2">
      <c r="B695" s="53"/>
    </row>
    <row r="696" spans="2:2" ht="14.25" customHeight="1" x14ac:dyDescent="0.2">
      <c r="B696" s="53"/>
    </row>
    <row r="697" spans="2:2" ht="14.25" customHeight="1" x14ac:dyDescent="0.2">
      <c r="B697" s="53"/>
    </row>
    <row r="698" spans="2:2" ht="14.25" customHeight="1" x14ac:dyDescent="0.2">
      <c r="B698" s="53"/>
    </row>
    <row r="699" spans="2:2" ht="14.25" customHeight="1" x14ac:dyDescent="0.2">
      <c r="B699" s="53"/>
    </row>
    <row r="700" spans="2:2" ht="14.25" customHeight="1" x14ac:dyDescent="0.2">
      <c r="B700" s="53"/>
    </row>
    <row r="701" spans="2:2" ht="14.25" customHeight="1" x14ac:dyDescent="0.2">
      <c r="B701" s="53"/>
    </row>
    <row r="702" spans="2:2" ht="14.25" customHeight="1" x14ac:dyDescent="0.2">
      <c r="B702" s="53"/>
    </row>
    <row r="703" spans="2:2" ht="14.25" customHeight="1" x14ac:dyDescent="0.2">
      <c r="B703" s="53"/>
    </row>
    <row r="704" spans="2:2" ht="14.25" customHeight="1" x14ac:dyDescent="0.2">
      <c r="B704" s="53"/>
    </row>
    <row r="705" spans="2:2" ht="14.25" customHeight="1" x14ac:dyDescent="0.2">
      <c r="B705" s="53"/>
    </row>
    <row r="706" spans="2:2" ht="14.25" customHeight="1" x14ac:dyDescent="0.2">
      <c r="B706" s="53"/>
    </row>
    <row r="707" spans="2:2" ht="14.25" customHeight="1" x14ac:dyDescent="0.2">
      <c r="B707" s="53"/>
    </row>
    <row r="708" spans="2:2" ht="14.25" customHeight="1" x14ac:dyDescent="0.2">
      <c r="B708" s="53"/>
    </row>
    <row r="709" spans="2:2" ht="14.25" customHeight="1" x14ac:dyDescent="0.2">
      <c r="B709" s="53"/>
    </row>
    <row r="710" spans="2:2" ht="14.25" customHeight="1" x14ac:dyDescent="0.2">
      <c r="B710" s="53"/>
    </row>
    <row r="711" spans="2:2" ht="14.25" customHeight="1" x14ac:dyDescent="0.2">
      <c r="B711" s="53"/>
    </row>
    <row r="712" spans="2:2" ht="14.25" customHeight="1" x14ac:dyDescent="0.2">
      <c r="B712" s="53"/>
    </row>
    <row r="713" spans="2:2" ht="14.25" customHeight="1" x14ac:dyDescent="0.2">
      <c r="B713" s="53"/>
    </row>
    <row r="714" spans="2:2" ht="14.25" customHeight="1" x14ac:dyDescent="0.2">
      <c r="B714" s="53"/>
    </row>
    <row r="715" spans="2:2" ht="14.25" customHeight="1" x14ac:dyDescent="0.2">
      <c r="B715" s="53"/>
    </row>
    <row r="716" spans="2:2" ht="14.25" customHeight="1" x14ac:dyDescent="0.2">
      <c r="B716" s="53"/>
    </row>
    <row r="717" spans="2:2" ht="14.25" customHeight="1" x14ac:dyDescent="0.2">
      <c r="B717" s="53"/>
    </row>
    <row r="718" spans="2:2" ht="14.25" customHeight="1" x14ac:dyDescent="0.2">
      <c r="B718" s="53"/>
    </row>
    <row r="719" spans="2:2" ht="14.25" customHeight="1" x14ac:dyDescent="0.2">
      <c r="B719" s="53"/>
    </row>
    <row r="720" spans="2:2" ht="14.25" customHeight="1" x14ac:dyDescent="0.2">
      <c r="B720" s="53"/>
    </row>
    <row r="721" spans="2:2" ht="14.25" customHeight="1" x14ac:dyDescent="0.2">
      <c r="B721" s="53"/>
    </row>
    <row r="722" spans="2:2" ht="14.25" customHeight="1" x14ac:dyDescent="0.2">
      <c r="B722" s="53"/>
    </row>
    <row r="723" spans="2:2" ht="14.25" customHeight="1" x14ac:dyDescent="0.2">
      <c r="B723" s="53"/>
    </row>
    <row r="724" spans="2:2" ht="14.25" customHeight="1" x14ac:dyDescent="0.2">
      <c r="B724" s="53"/>
    </row>
    <row r="725" spans="2:2" ht="14.25" customHeight="1" x14ac:dyDescent="0.2">
      <c r="B725" s="53"/>
    </row>
    <row r="726" spans="2:2" ht="14.25" customHeight="1" x14ac:dyDescent="0.2">
      <c r="B726" s="53"/>
    </row>
    <row r="727" spans="2:2" ht="14.25" customHeight="1" x14ac:dyDescent="0.2">
      <c r="B727" s="53"/>
    </row>
    <row r="728" spans="2:2" ht="14.25" customHeight="1" x14ac:dyDescent="0.2">
      <c r="B728" s="53"/>
    </row>
    <row r="729" spans="2:2" ht="14.25" customHeight="1" x14ac:dyDescent="0.2">
      <c r="B729" s="53"/>
    </row>
    <row r="730" spans="2:2" ht="14.25" customHeight="1" x14ac:dyDescent="0.2">
      <c r="B730" s="53"/>
    </row>
    <row r="731" spans="2:2" ht="14.25" customHeight="1" x14ac:dyDescent="0.2">
      <c r="B731" s="53"/>
    </row>
    <row r="732" spans="2:2" ht="14.25" customHeight="1" x14ac:dyDescent="0.2">
      <c r="B732" s="53"/>
    </row>
    <row r="733" spans="2:2" ht="14.25" customHeight="1" x14ac:dyDescent="0.2">
      <c r="B733" s="53"/>
    </row>
    <row r="734" spans="2:2" ht="14.25" customHeight="1" x14ac:dyDescent="0.2">
      <c r="B734" s="53"/>
    </row>
    <row r="735" spans="2:2" ht="14.25" customHeight="1" x14ac:dyDescent="0.2">
      <c r="B735" s="53"/>
    </row>
    <row r="736" spans="2:2" ht="14.25" customHeight="1" x14ac:dyDescent="0.2">
      <c r="B736" s="53"/>
    </row>
    <row r="737" spans="2:2" ht="14.25" customHeight="1" x14ac:dyDescent="0.2">
      <c r="B737" s="53"/>
    </row>
    <row r="738" spans="2:2" ht="14.25" customHeight="1" x14ac:dyDescent="0.2">
      <c r="B738" s="53"/>
    </row>
    <row r="739" spans="2:2" ht="14.25" customHeight="1" x14ac:dyDescent="0.2">
      <c r="B739" s="53"/>
    </row>
    <row r="740" spans="2:2" ht="14.25" customHeight="1" x14ac:dyDescent="0.2">
      <c r="B740" s="53"/>
    </row>
    <row r="741" spans="2:2" ht="14.25" customHeight="1" x14ac:dyDescent="0.2">
      <c r="B741" s="53"/>
    </row>
    <row r="742" spans="2:2" ht="14.25" customHeight="1" x14ac:dyDescent="0.2">
      <c r="B742" s="53"/>
    </row>
    <row r="743" spans="2:2" ht="14.25" customHeight="1" x14ac:dyDescent="0.2">
      <c r="B743" s="53"/>
    </row>
    <row r="744" spans="2:2" ht="14.25" customHeight="1" x14ac:dyDescent="0.2">
      <c r="B744" s="53"/>
    </row>
    <row r="745" spans="2:2" ht="14.25" customHeight="1" x14ac:dyDescent="0.2">
      <c r="B745" s="53"/>
    </row>
    <row r="746" spans="2:2" ht="14.25" customHeight="1" x14ac:dyDescent="0.2">
      <c r="B746" s="53"/>
    </row>
    <row r="747" spans="2:2" ht="14.25" customHeight="1" x14ac:dyDescent="0.2">
      <c r="B747" s="53"/>
    </row>
    <row r="748" spans="2:2" ht="14.25" customHeight="1" x14ac:dyDescent="0.2">
      <c r="B748" s="53"/>
    </row>
    <row r="749" spans="2:2" ht="14.25" customHeight="1" x14ac:dyDescent="0.2">
      <c r="B749" s="53"/>
    </row>
    <row r="750" spans="2:2" ht="14.25" customHeight="1" x14ac:dyDescent="0.2">
      <c r="B750" s="53"/>
    </row>
    <row r="751" spans="2:2" ht="14.25" customHeight="1" x14ac:dyDescent="0.2">
      <c r="B751" s="53"/>
    </row>
    <row r="752" spans="2:2" ht="14.25" customHeight="1" x14ac:dyDescent="0.2">
      <c r="B752" s="53"/>
    </row>
    <row r="753" spans="2:2" ht="14.25" customHeight="1" x14ac:dyDescent="0.2">
      <c r="B753" s="53"/>
    </row>
    <row r="754" spans="2:2" ht="14.25" customHeight="1" x14ac:dyDescent="0.2">
      <c r="B754" s="53"/>
    </row>
    <row r="755" spans="2:2" ht="14.25" customHeight="1" x14ac:dyDescent="0.2">
      <c r="B755" s="53"/>
    </row>
    <row r="756" spans="2:2" ht="14.25" customHeight="1" x14ac:dyDescent="0.2">
      <c r="B756" s="53"/>
    </row>
    <row r="757" spans="2:2" ht="14.25" customHeight="1" x14ac:dyDescent="0.2">
      <c r="B757" s="53"/>
    </row>
    <row r="758" spans="2:2" ht="14.25" customHeight="1" x14ac:dyDescent="0.2">
      <c r="B758" s="53"/>
    </row>
    <row r="759" spans="2:2" ht="14.25" customHeight="1" x14ac:dyDescent="0.2">
      <c r="B759" s="53"/>
    </row>
    <row r="760" spans="2:2" ht="14.25" customHeight="1" x14ac:dyDescent="0.2">
      <c r="B760" s="53"/>
    </row>
    <row r="761" spans="2:2" ht="14.25" customHeight="1" x14ac:dyDescent="0.2">
      <c r="B761" s="53"/>
    </row>
    <row r="762" spans="2:2" ht="14.25" customHeight="1" x14ac:dyDescent="0.2">
      <c r="B762" s="53"/>
    </row>
    <row r="763" spans="2:2" ht="14.25" customHeight="1" x14ac:dyDescent="0.2">
      <c r="B763" s="53"/>
    </row>
    <row r="764" spans="2:2" ht="14.25" customHeight="1" x14ac:dyDescent="0.2">
      <c r="B764" s="53"/>
    </row>
    <row r="765" spans="2:2" ht="14.25" customHeight="1" x14ac:dyDescent="0.2">
      <c r="B765" s="53"/>
    </row>
    <row r="766" spans="2:2" ht="14.25" customHeight="1" x14ac:dyDescent="0.2">
      <c r="B766" s="53"/>
    </row>
    <row r="767" spans="2:2" ht="14.25" customHeight="1" x14ac:dyDescent="0.2">
      <c r="B767" s="53"/>
    </row>
    <row r="768" spans="2:2" ht="14.25" customHeight="1" x14ac:dyDescent="0.2">
      <c r="B768" s="53"/>
    </row>
    <row r="769" spans="2:2" ht="14.25" customHeight="1" x14ac:dyDescent="0.2">
      <c r="B769" s="53"/>
    </row>
    <row r="770" spans="2:2" ht="14.25" customHeight="1" x14ac:dyDescent="0.2">
      <c r="B770" s="53"/>
    </row>
    <row r="771" spans="2:2" ht="14.25" customHeight="1" x14ac:dyDescent="0.2">
      <c r="B771" s="53"/>
    </row>
    <row r="772" spans="2:2" ht="14.25" customHeight="1" x14ac:dyDescent="0.2">
      <c r="B772" s="53"/>
    </row>
    <row r="773" spans="2:2" ht="14.25" customHeight="1" x14ac:dyDescent="0.2">
      <c r="B773" s="53"/>
    </row>
    <row r="774" spans="2:2" ht="14.25" customHeight="1" x14ac:dyDescent="0.2">
      <c r="B774" s="53"/>
    </row>
    <row r="775" spans="2:2" ht="14.25" customHeight="1" x14ac:dyDescent="0.2">
      <c r="B775" s="53"/>
    </row>
    <row r="776" spans="2:2" ht="14.25" customHeight="1" x14ac:dyDescent="0.2">
      <c r="B776" s="53"/>
    </row>
    <row r="777" spans="2:2" ht="14.25" customHeight="1" x14ac:dyDescent="0.2">
      <c r="B777" s="53"/>
    </row>
    <row r="778" spans="2:2" ht="14.25" customHeight="1" x14ac:dyDescent="0.2">
      <c r="B778" s="53"/>
    </row>
    <row r="779" spans="2:2" ht="14.25" customHeight="1" x14ac:dyDescent="0.2">
      <c r="B779" s="53"/>
    </row>
    <row r="780" spans="2:2" ht="14.25" customHeight="1" x14ac:dyDescent="0.2">
      <c r="B780" s="53"/>
    </row>
    <row r="781" spans="2:2" ht="14.25" customHeight="1" x14ac:dyDescent="0.2">
      <c r="B781" s="53"/>
    </row>
    <row r="782" spans="2:2" ht="14.25" customHeight="1" x14ac:dyDescent="0.2">
      <c r="B782" s="53"/>
    </row>
    <row r="783" spans="2:2" ht="14.25" customHeight="1" x14ac:dyDescent="0.2">
      <c r="B783" s="53"/>
    </row>
    <row r="784" spans="2:2" ht="14.25" customHeight="1" x14ac:dyDescent="0.2">
      <c r="B784" s="53"/>
    </row>
    <row r="785" spans="2:2" ht="14.25" customHeight="1" x14ac:dyDescent="0.2">
      <c r="B785" s="53"/>
    </row>
    <row r="786" spans="2:2" ht="14.25" customHeight="1" x14ac:dyDescent="0.2">
      <c r="B786" s="53"/>
    </row>
    <row r="787" spans="2:2" ht="14.25" customHeight="1" x14ac:dyDescent="0.2">
      <c r="B787" s="53"/>
    </row>
    <row r="788" spans="2:2" ht="14.25" customHeight="1" x14ac:dyDescent="0.2">
      <c r="B788" s="53"/>
    </row>
    <row r="789" spans="2:2" ht="14.25" customHeight="1" x14ac:dyDescent="0.2">
      <c r="B789" s="53"/>
    </row>
    <row r="790" spans="2:2" ht="14.25" customHeight="1" x14ac:dyDescent="0.2">
      <c r="B790" s="53"/>
    </row>
    <row r="791" spans="2:2" ht="14.25" customHeight="1" x14ac:dyDescent="0.2">
      <c r="B791" s="53"/>
    </row>
    <row r="792" spans="2:2" ht="14.25" customHeight="1" x14ac:dyDescent="0.2">
      <c r="B792" s="53"/>
    </row>
    <row r="793" spans="2:2" ht="14.25" customHeight="1" x14ac:dyDescent="0.2">
      <c r="B793" s="53"/>
    </row>
    <row r="794" spans="2:2" ht="14.25" customHeight="1" x14ac:dyDescent="0.2">
      <c r="B794" s="53"/>
    </row>
    <row r="795" spans="2:2" ht="14.25" customHeight="1" x14ac:dyDescent="0.2">
      <c r="B795" s="53"/>
    </row>
    <row r="796" spans="2:2" ht="14.25" customHeight="1" x14ac:dyDescent="0.2">
      <c r="B796" s="53"/>
    </row>
    <row r="797" spans="2:2" ht="14.25" customHeight="1" x14ac:dyDescent="0.2">
      <c r="B797" s="53"/>
    </row>
    <row r="798" spans="2:2" ht="14.25" customHeight="1" x14ac:dyDescent="0.2">
      <c r="B798" s="53"/>
    </row>
    <row r="799" spans="2:2" ht="14.25" customHeight="1" x14ac:dyDescent="0.2">
      <c r="B799" s="53"/>
    </row>
    <row r="800" spans="2:2" ht="14.25" customHeight="1" x14ac:dyDescent="0.2">
      <c r="B800" s="53"/>
    </row>
    <row r="801" spans="2:2" ht="14.25" customHeight="1" x14ac:dyDescent="0.2">
      <c r="B801" s="53"/>
    </row>
    <row r="802" spans="2:2" ht="14.25" customHeight="1" x14ac:dyDescent="0.2">
      <c r="B802" s="53"/>
    </row>
    <row r="803" spans="2:2" ht="14.25" customHeight="1" x14ac:dyDescent="0.2">
      <c r="B803" s="53"/>
    </row>
    <row r="804" spans="2:2" ht="14.25" customHeight="1" x14ac:dyDescent="0.2">
      <c r="B804" s="53"/>
    </row>
    <row r="805" spans="2:2" ht="14.25" customHeight="1" x14ac:dyDescent="0.2">
      <c r="B805" s="53"/>
    </row>
    <row r="806" spans="2:2" ht="14.25" customHeight="1" x14ac:dyDescent="0.2">
      <c r="B806" s="53"/>
    </row>
    <row r="807" spans="2:2" ht="14.25" customHeight="1" x14ac:dyDescent="0.2">
      <c r="B807" s="53"/>
    </row>
    <row r="808" spans="2:2" ht="14.25" customHeight="1" x14ac:dyDescent="0.2">
      <c r="B808" s="53"/>
    </row>
    <row r="809" spans="2:2" ht="14.25" customHeight="1" x14ac:dyDescent="0.2">
      <c r="B809" s="53"/>
    </row>
    <row r="810" spans="2:2" ht="14.25" customHeight="1" x14ac:dyDescent="0.2">
      <c r="B810" s="53"/>
    </row>
    <row r="811" spans="2:2" ht="14.25" customHeight="1" x14ac:dyDescent="0.2">
      <c r="B811" s="53"/>
    </row>
    <row r="812" spans="2:2" ht="14.25" customHeight="1" x14ac:dyDescent="0.2">
      <c r="B812" s="53"/>
    </row>
    <row r="813" spans="2:2" ht="14.25" customHeight="1" x14ac:dyDescent="0.2">
      <c r="B813" s="53"/>
    </row>
    <row r="814" spans="2:2" ht="14.25" customHeight="1" x14ac:dyDescent="0.2">
      <c r="B814" s="53"/>
    </row>
    <row r="815" spans="2:2" ht="14.25" customHeight="1" x14ac:dyDescent="0.2">
      <c r="B815" s="53"/>
    </row>
    <row r="816" spans="2:2" ht="14.25" customHeight="1" x14ac:dyDescent="0.2">
      <c r="B816" s="53"/>
    </row>
    <row r="817" spans="2:2" ht="14.25" customHeight="1" x14ac:dyDescent="0.2">
      <c r="B817" s="53"/>
    </row>
    <row r="818" spans="2:2" ht="14.25" customHeight="1" x14ac:dyDescent="0.2">
      <c r="B818" s="53"/>
    </row>
    <row r="819" spans="2:2" ht="14.25" customHeight="1" x14ac:dyDescent="0.2">
      <c r="B819" s="53"/>
    </row>
    <row r="820" spans="2:2" ht="14.25" customHeight="1" x14ac:dyDescent="0.2">
      <c r="B820" s="53"/>
    </row>
    <row r="821" spans="2:2" ht="14.25" customHeight="1" x14ac:dyDescent="0.2">
      <c r="B821" s="53"/>
    </row>
    <row r="822" spans="2:2" ht="14.25" customHeight="1" x14ac:dyDescent="0.2">
      <c r="B822" s="53"/>
    </row>
    <row r="823" spans="2:2" ht="14.25" customHeight="1" x14ac:dyDescent="0.2">
      <c r="B823" s="53"/>
    </row>
    <row r="824" spans="2:2" ht="14.25" customHeight="1" x14ac:dyDescent="0.2">
      <c r="B824" s="53"/>
    </row>
    <row r="825" spans="2:2" ht="14.25" customHeight="1" x14ac:dyDescent="0.2">
      <c r="B825" s="53"/>
    </row>
    <row r="826" spans="2:2" ht="14.25" customHeight="1" x14ac:dyDescent="0.2">
      <c r="B826" s="53"/>
    </row>
    <row r="827" spans="2:2" ht="14.25" customHeight="1" x14ac:dyDescent="0.2">
      <c r="B827" s="53"/>
    </row>
    <row r="828" spans="2:2" ht="14.25" customHeight="1" x14ac:dyDescent="0.2">
      <c r="B828" s="53"/>
    </row>
    <row r="829" spans="2:2" ht="14.25" customHeight="1" x14ac:dyDescent="0.2">
      <c r="B829" s="53"/>
    </row>
    <row r="830" spans="2:2" ht="14.25" customHeight="1" x14ac:dyDescent="0.2">
      <c r="B830" s="53"/>
    </row>
    <row r="831" spans="2:2" ht="14.25" customHeight="1" x14ac:dyDescent="0.2">
      <c r="B831" s="53"/>
    </row>
    <row r="832" spans="2:2" ht="14.25" customHeight="1" x14ac:dyDescent="0.2">
      <c r="B832" s="53"/>
    </row>
    <row r="833" spans="2:2" ht="14.25" customHeight="1" x14ac:dyDescent="0.2">
      <c r="B833" s="53"/>
    </row>
    <row r="834" spans="2:2" ht="14.25" customHeight="1" x14ac:dyDescent="0.2">
      <c r="B834" s="53"/>
    </row>
    <row r="835" spans="2:2" ht="14.25" customHeight="1" x14ac:dyDescent="0.2">
      <c r="B835" s="53"/>
    </row>
    <row r="836" spans="2:2" ht="14.25" customHeight="1" x14ac:dyDescent="0.2">
      <c r="B836" s="53"/>
    </row>
    <row r="837" spans="2:2" ht="14.25" customHeight="1" x14ac:dyDescent="0.2">
      <c r="B837" s="53"/>
    </row>
    <row r="838" spans="2:2" ht="14.25" customHeight="1" x14ac:dyDescent="0.2">
      <c r="B838" s="53"/>
    </row>
    <row r="839" spans="2:2" ht="14.25" customHeight="1" x14ac:dyDescent="0.2">
      <c r="B839" s="53"/>
    </row>
    <row r="840" spans="2:2" ht="14.25" customHeight="1" x14ac:dyDescent="0.2">
      <c r="B840" s="53"/>
    </row>
    <row r="841" spans="2:2" ht="14.25" customHeight="1" x14ac:dyDescent="0.2">
      <c r="B841" s="53"/>
    </row>
    <row r="842" spans="2:2" ht="14.25" customHeight="1" x14ac:dyDescent="0.2">
      <c r="B842" s="53"/>
    </row>
    <row r="843" spans="2:2" ht="14.25" customHeight="1" x14ac:dyDescent="0.2">
      <c r="B843" s="53"/>
    </row>
    <row r="844" spans="2:2" ht="14.25" customHeight="1" x14ac:dyDescent="0.2">
      <c r="B844" s="53"/>
    </row>
    <row r="845" spans="2:2" ht="14.25" customHeight="1" x14ac:dyDescent="0.2">
      <c r="B845" s="53"/>
    </row>
    <row r="846" spans="2:2" ht="14.25" customHeight="1" x14ac:dyDescent="0.2">
      <c r="B846" s="53"/>
    </row>
    <row r="847" spans="2:2" ht="14.25" customHeight="1" x14ac:dyDescent="0.2">
      <c r="B847" s="53"/>
    </row>
    <row r="848" spans="2:2" ht="14.25" customHeight="1" x14ac:dyDescent="0.2">
      <c r="B848" s="53"/>
    </row>
    <row r="849" spans="2:2" ht="14.25" customHeight="1" x14ac:dyDescent="0.2">
      <c r="B849" s="53"/>
    </row>
    <row r="850" spans="2:2" ht="14.25" customHeight="1" x14ac:dyDescent="0.2">
      <c r="B850" s="53"/>
    </row>
    <row r="851" spans="2:2" ht="14.25" customHeight="1" x14ac:dyDescent="0.2">
      <c r="B851" s="53"/>
    </row>
    <row r="852" spans="2:2" ht="14.25" customHeight="1" x14ac:dyDescent="0.2">
      <c r="B852" s="53"/>
    </row>
    <row r="853" spans="2:2" ht="14.25" customHeight="1" x14ac:dyDescent="0.2">
      <c r="B853" s="53"/>
    </row>
    <row r="854" spans="2:2" ht="14.25" customHeight="1" x14ac:dyDescent="0.2">
      <c r="B854" s="53"/>
    </row>
    <row r="855" spans="2:2" ht="14.25" customHeight="1" x14ac:dyDescent="0.2">
      <c r="B855" s="53"/>
    </row>
    <row r="856" spans="2:2" ht="14.25" customHeight="1" x14ac:dyDescent="0.2">
      <c r="B856" s="53"/>
    </row>
    <row r="857" spans="2:2" ht="14.25" customHeight="1" x14ac:dyDescent="0.2">
      <c r="B857" s="53"/>
    </row>
    <row r="858" spans="2:2" ht="14.25" customHeight="1" x14ac:dyDescent="0.2">
      <c r="B858" s="53"/>
    </row>
    <row r="859" spans="2:2" ht="14.25" customHeight="1" x14ac:dyDescent="0.2">
      <c r="B859" s="53"/>
    </row>
    <row r="860" spans="2:2" ht="14.25" customHeight="1" x14ac:dyDescent="0.2">
      <c r="B860" s="53"/>
    </row>
    <row r="861" spans="2:2" ht="14.25" customHeight="1" x14ac:dyDescent="0.2">
      <c r="B861" s="53"/>
    </row>
    <row r="862" spans="2:2" ht="14.25" customHeight="1" x14ac:dyDescent="0.2">
      <c r="B862" s="53"/>
    </row>
    <row r="863" spans="2:2" ht="14.25" customHeight="1" x14ac:dyDescent="0.2">
      <c r="B863" s="53"/>
    </row>
    <row r="864" spans="2:2" ht="14.25" customHeight="1" x14ac:dyDescent="0.2">
      <c r="B864" s="53"/>
    </row>
    <row r="865" spans="2:2" ht="14.25" customHeight="1" x14ac:dyDescent="0.2">
      <c r="B865" s="53"/>
    </row>
    <row r="866" spans="2:2" ht="14.25" customHeight="1" x14ac:dyDescent="0.2">
      <c r="B866" s="53"/>
    </row>
    <row r="867" spans="2:2" ht="14.25" customHeight="1" x14ac:dyDescent="0.2">
      <c r="B867" s="53"/>
    </row>
    <row r="868" spans="2:2" ht="14.25" customHeight="1" x14ac:dyDescent="0.2">
      <c r="B868" s="53"/>
    </row>
    <row r="869" spans="2:2" ht="14.25" customHeight="1" x14ac:dyDescent="0.2">
      <c r="B869" s="53"/>
    </row>
    <row r="870" spans="2:2" ht="14.25" customHeight="1" x14ac:dyDescent="0.2">
      <c r="B870" s="53"/>
    </row>
    <row r="871" spans="2:2" ht="14.25" customHeight="1" x14ac:dyDescent="0.2">
      <c r="B871" s="53"/>
    </row>
    <row r="872" spans="2:2" ht="14.25" customHeight="1" x14ac:dyDescent="0.2">
      <c r="B872" s="53"/>
    </row>
    <row r="873" spans="2:2" ht="14.25" customHeight="1" x14ac:dyDescent="0.2">
      <c r="B873" s="53"/>
    </row>
    <row r="874" spans="2:2" ht="14.25" customHeight="1" x14ac:dyDescent="0.2">
      <c r="B874" s="53"/>
    </row>
    <row r="875" spans="2:2" ht="14.25" customHeight="1" x14ac:dyDescent="0.2">
      <c r="B875" s="53"/>
    </row>
    <row r="876" spans="2:2" ht="14.25" customHeight="1" x14ac:dyDescent="0.2">
      <c r="B876" s="53"/>
    </row>
    <row r="877" spans="2:2" ht="14.25" customHeight="1" x14ac:dyDescent="0.2">
      <c r="B877" s="53"/>
    </row>
    <row r="878" spans="2:2" ht="14.25" customHeight="1" x14ac:dyDescent="0.2">
      <c r="B878" s="53"/>
    </row>
    <row r="879" spans="2:2" ht="14.25" customHeight="1" x14ac:dyDescent="0.2">
      <c r="B879" s="53"/>
    </row>
    <row r="880" spans="2:2" ht="14.25" customHeight="1" x14ac:dyDescent="0.2">
      <c r="B880" s="53"/>
    </row>
    <row r="881" spans="2:2" ht="14.25" customHeight="1" x14ac:dyDescent="0.2">
      <c r="B881" s="53"/>
    </row>
    <row r="882" spans="2:2" ht="14.25" customHeight="1" x14ac:dyDescent="0.2">
      <c r="B882" s="53"/>
    </row>
    <row r="883" spans="2:2" ht="14.25" customHeight="1" x14ac:dyDescent="0.2">
      <c r="B883" s="53"/>
    </row>
    <row r="884" spans="2:2" ht="14.25" customHeight="1" x14ac:dyDescent="0.2">
      <c r="B884" s="53"/>
    </row>
    <row r="885" spans="2:2" ht="14.25" customHeight="1" x14ac:dyDescent="0.2">
      <c r="B885" s="53"/>
    </row>
    <row r="886" spans="2:2" ht="14.25" customHeight="1" x14ac:dyDescent="0.2">
      <c r="B886" s="53"/>
    </row>
    <row r="887" spans="2:2" ht="14.25" customHeight="1" x14ac:dyDescent="0.2">
      <c r="B887" s="53"/>
    </row>
    <row r="888" spans="2:2" ht="14.25" customHeight="1" x14ac:dyDescent="0.2">
      <c r="B888" s="53"/>
    </row>
    <row r="889" spans="2:2" ht="14.25" customHeight="1" x14ac:dyDescent="0.2">
      <c r="B889" s="53"/>
    </row>
    <row r="890" spans="2:2" ht="14.25" customHeight="1" x14ac:dyDescent="0.2">
      <c r="B890" s="53"/>
    </row>
    <row r="891" spans="2:2" ht="14.25" customHeight="1" x14ac:dyDescent="0.2">
      <c r="B891" s="53"/>
    </row>
    <row r="892" spans="2:2" ht="14.25" customHeight="1" x14ac:dyDescent="0.2">
      <c r="B892" s="53"/>
    </row>
    <row r="893" spans="2:2" ht="14.25" customHeight="1" x14ac:dyDescent="0.2">
      <c r="B893" s="53"/>
    </row>
    <row r="894" spans="2:2" ht="14.25" customHeight="1" x14ac:dyDescent="0.2">
      <c r="B894" s="53"/>
    </row>
    <row r="895" spans="2:2" ht="14.25" customHeight="1" x14ac:dyDescent="0.2">
      <c r="B895" s="53"/>
    </row>
    <row r="896" spans="2:2" ht="14.25" customHeight="1" x14ac:dyDescent="0.2">
      <c r="B896" s="53"/>
    </row>
    <row r="897" spans="2:2" ht="14.25" customHeight="1" x14ac:dyDescent="0.2">
      <c r="B897" s="53"/>
    </row>
    <row r="898" spans="2:2" ht="14.25" customHeight="1" x14ac:dyDescent="0.2">
      <c r="B898" s="53"/>
    </row>
    <row r="899" spans="2:2" ht="14.25" customHeight="1" x14ac:dyDescent="0.2">
      <c r="B899" s="53"/>
    </row>
    <row r="900" spans="2:2" ht="14.25" customHeight="1" x14ac:dyDescent="0.2">
      <c r="B900" s="53"/>
    </row>
    <row r="901" spans="2:2" ht="14.25" customHeight="1" x14ac:dyDescent="0.2">
      <c r="B901" s="53"/>
    </row>
    <row r="902" spans="2:2" ht="14.25" customHeight="1" x14ac:dyDescent="0.2">
      <c r="B902" s="53"/>
    </row>
    <row r="903" spans="2:2" ht="14.25" customHeight="1" x14ac:dyDescent="0.2">
      <c r="B903" s="53"/>
    </row>
    <row r="904" spans="2:2" ht="14.25" customHeight="1" x14ac:dyDescent="0.2">
      <c r="B904" s="53"/>
    </row>
    <row r="905" spans="2:2" ht="14.25" customHeight="1" x14ac:dyDescent="0.2">
      <c r="B905" s="53"/>
    </row>
    <row r="906" spans="2:2" ht="14.25" customHeight="1" x14ac:dyDescent="0.2">
      <c r="B906" s="53"/>
    </row>
    <row r="907" spans="2:2" ht="14.25" customHeight="1" x14ac:dyDescent="0.2">
      <c r="B907" s="53"/>
    </row>
    <row r="908" spans="2:2" ht="14.25" customHeight="1" x14ac:dyDescent="0.2">
      <c r="B908" s="53"/>
    </row>
    <row r="909" spans="2:2" ht="14.25" customHeight="1" x14ac:dyDescent="0.2">
      <c r="B909" s="53"/>
    </row>
    <row r="910" spans="2:2" ht="14.25" customHeight="1" x14ac:dyDescent="0.2">
      <c r="B910" s="53"/>
    </row>
    <row r="911" spans="2:2" ht="14.25" customHeight="1" x14ac:dyDescent="0.2">
      <c r="B911" s="53"/>
    </row>
    <row r="912" spans="2:2" ht="14.25" customHeight="1" x14ac:dyDescent="0.2">
      <c r="B912" s="53"/>
    </row>
    <row r="913" spans="2:2" ht="14.25" customHeight="1" x14ac:dyDescent="0.2">
      <c r="B913" s="53"/>
    </row>
    <row r="914" spans="2:2" ht="14.25" customHeight="1" x14ac:dyDescent="0.2">
      <c r="B914" s="53"/>
    </row>
    <row r="915" spans="2:2" ht="14.25" customHeight="1" x14ac:dyDescent="0.2">
      <c r="B915" s="53"/>
    </row>
    <row r="916" spans="2:2" ht="14.25" customHeight="1" x14ac:dyDescent="0.2">
      <c r="B916" s="53"/>
    </row>
    <row r="917" spans="2:2" ht="14.25" customHeight="1" x14ac:dyDescent="0.2">
      <c r="B917" s="53"/>
    </row>
    <row r="918" spans="2:2" ht="14.25" customHeight="1" x14ac:dyDescent="0.2">
      <c r="B918" s="53"/>
    </row>
    <row r="919" spans="2:2" ht="14.25" customHeight="1" x14ac:dyDescent="0.2">
      <c r="B919" s="53"/>
    </row>
    <row r="920" spans="2:2" ht="14.25" customHeight="1" x14ac:dyDescent="0.2">
      <c r="B920" s="53"/>
    </row>
    <row r="921" spans="2:2" ht="14.25" customHeight="1" x14ac:dyDescent="0.2">
      <c r="B921" s="53"/>
    </row>
    <row r="922" spans="2:2" ht="14.25" customHeight="1" x14ac:dyDescent="0.2">
      <c r="B922" s="53"/>
    </row>
    <row r="923" spans="2:2" ht="14.25" customHeight="1" x14ac:dyDescent="0.2">
      <c r="B923" s="53"/>
    </row>
    <row r="924" spans="2:2" ht="14.25" customHeight="1" x14ac:dyDescent="0.2">
      <c r="B924" s="53"/>
    </row>
    <row r="925" spans="2:2" ht="14.25" customHeight="1" x14ac:dyDescent="0.2">
      <c r="B925" s="53"/>
    </row>
    <row r="926" spans="2:2" ht="14.25" customHeight="1" x14ac:dyDescent="0.2">
      <c r="B926" s="53"/>
    </row>
    <row r="927" spans="2:2" ht="14.25" customHeight="1" x14ac:dyDescent="0.2">
      <c r="B927" s="53"/>
    </row>
    <row r="928" spans="2:2" ht="14.25" customHeight="1" x14ac:dyDescent="0.2">
      <c r="B928" s="53"/>
    </row>
    <row r="929" spans="2:2" ht="14.25" customHeight="1" x14ac:dyDescent="0.2">
      <c r="B929" s="53"/>
    </row>
    <row r="930" spans="2:2" ht="14.25" customHeight="1" x14ac:dyDescent="0.2">
      <c r="B930" s="53"/>
    </row>
    <row r="931" spans="2:2" ht="14.25" customHeight="1" x14ac:dyDescent="0.2">
      <c r="B931" s="53"/>
    </row>
    <row r="932" spans="2:2" ht="14.25" customHeight="1" x14ac:dyDescent="0.2">
      <c r="B932" s="53"/>
    </row>
    <row r="933" spans="2:2" ht="14.25" customHeight="1" x14ac:dyDescent="0.2">
      <c r="B933" s="53"/>
    </row>
    <row r="934" spans="2:2" ht="14.25" customHeight="1" x14ac:dyDescent="0.2">
      <c r="B934" s="53"/>
    </row>
    <row r="935" spans="2:2" ht="14.25" customHeight="1" x14ac:dyDescent="0.2">
      <c r="B935" s="53"/>
    </row>
    <row r="936" spans="2:2" ht="14.25" customHeight="1" x14ac:dyDescent="0.2">
      <c r="B936" s="53"/>
    </row>
    <row r="937" spans="2:2" ht="14.25" customHeight="1" x14ac:dyDescent="0.2">
      <c r="B937" s="53"/>
    </row>
    <row r="938" spans="2:2" ht="14.25" customHeight="1" x14ac:dyDescent="0.2">
      <c r="B938" s="53"/>
    </row>
    <row r="939" spans="2:2" ht="14.25" customHeight="1" x14ac:dyDescent="0.2">
      <c r="B939" s="53"/>
    </row>
    <row r="940" spans="2:2" ht="14.25" customHeight="1" x14ac:dyDescent="0.2">
      <c r="B940" s="53"/>
    </row>
    <row r="941" spans="2:2" ht="14.25" customHeight="1" x14ac:dyDescent="0.2">
      <c r="B941" s="53"/>
    </row>
    <row r="942" spans="2:2" ht="14.25" customHeight="1" x14ac:dyDescent="0.2">
      <c r="B942" s="53"/>
    </row>
    <row r="943" spans="2:2" ht="14.25" customHeight="1" x14ac:dyDescent="0.2">
      <c r="B943" s="53"/>
    </row>
    <row r="944" spans="2:2" ht="14.25" customHeight="1" x14ac:dyDescent="0.2">
      <c r="B944" s="53"/>
    </row>
    <row r="945" spans="2:2" ht="14.25" customHeight="1" x14ac:dyDescent="0.2">
      <c r="B945" s="53"/>
    </row>
    <row r="946" spans="2:2" ht="14.25" customHeight="1" x14ac:dyDescent="0.2">
      <c r="B946" s="53"/>
    </row>
    <row r="947" spans="2:2" ht="14.25" customHeight="1" x14ac:dyDescent="0.2">
      <c r="B947" s="53"/>
    </row>
    <row r="948" spans="2:2" ht="14.25" customHeight="1" x14ac:dyDescent="0.2">
      <c r="B948" s="53"/>
    </row>
    <row r="949" spans="2:2" ht="14.25" customHeight="1" x14ac:dyDescent="0.2">
      <c r="B949" s="53"/>
    </row>
    <row r="950" spans="2:2" ht="14.25" customHeight="1" x14ac:dyDescent="0.2">
      <c r="B950" s="53"/>
    </row>
    <row r="951" spans="2:2" ht="14.25" customHeight="1" x14ac:dyDescent="0.2">
      <c r="B951" s="53"/>
    </row>
    <row r="952" spans="2:2" ht="14.25" customHeight="1" x14ac:dyDescent="0.2">
      <c r="B952" s="53"/>
    </row>
    <row r="953" spans="2:2" ht="14.25" customHeight="1" x14ac:dyDescent="0.2">
      <c r="B953" s="53"/>
    </row>
    <row r="954" spans="2:2" ht="14.25" customHeight="1" x14ac:dyDescent="0.2">
      <c r="B954" s="53"/>
    </row>
    <row r="955" spans="2:2" ht="14.25" customHeight="1" x14ac:dyDescent="0.2">
      <c r="B955" s="53"/>
    </row>
    <row r="956" spans="2:2" ht="14.25" customHeight="1" x14ac:dyDescent="0.2">
      <c r="B956" s="53"/>
    </row>
    <row r="957" spans="2:2" ht="14.25" customHeight="1" x14ac:dyDescent="0.2">
      <c r="B957" s="53"/>
    </row>
    <row r="958" spans="2:2" ht="14.25" customHeight="1" x14ac:dyDescent="0.2">
      <c r="B958" s="53"/>
    </row>
    <row r="959" spans="2:2" ht="14.25" customHeight="1" x14ac:dyDescent="0.2">
      <c r="B959" s="53"/>
    </row>
    <row r="960" spans="2:2" ht="14.25" customHeight="1" x14ac:dyDescent="0.2">
      <c r="B960" s="53"/>
    </row>
    <row r="961" spans="2:2" ht="14.25" customHeight="1" x14ac:dyDescent="0.2">
      <c r="B961" s="53"/>
    </row>
    <row r="962" spans="2:2" ht="14.25" customHeight="1" x14ac:dyDescent="0.2">
      <c r="B962" s="53"/>
    </row>
    <row r="963" spans="2:2" ht="14.25" customHeight="1" x14ac:dyDescent="0.2">
      <c r="B963" s="53"/>
    </row>
    <row r="964" spans="2:2" ht="14.25" customHeight="1" x14ac:dyDescent="0.2">
      <c r="B964" s="53"/>
    </row>
    <row r="965" spans="2:2" ht="14.25" customHeight="1" x14ac:dyDescent="0.2">
      <c r="B965" s="53"/>
    </row>
    <row r="966" spans="2:2" ht="14.25" customHeight="1" x14ac:dyDescent="0.2">
      <c r="B966" s="53"/>
    </row>
    <row r="967" spans="2:2" ht="14.25" customHeight="1" x14ac:dyDescent="0.2">
      <c r="B967" s="53"/>
    </row>
    <row r="968" spans="2:2" ht="14.25" customHeight="1" x14ac:dyDescent="0.2">
      <c r="B968" s="53"/>
    </row>
    <row r="969" spans="2:2" ht="14.25" customHeight="1" x14ac:dyDescent="0.2">
      <c r="B969" s="53"/>
    </row>
    <row r="970" spans="2:2" ht="14.25" customHeight="1" x14ac:dyDescent="0.2">
      <c r="B970" s="53"/>
    </row>
    <row r="971" spans="2:2" ht="14.25" customHeight="1" x14ac:dyDescent="0.2">
      <c r="B971" s="53"/>
    </row>
    <row r="972" spans="2:2" ht="14.25" customHeight="1" x14ac:dyDescent="0.2">
      <c r="B972" s="53"/>
    </row>
    <row r="973" spans="2:2" ht="14.25" customHeight="1" x14ac:dyDescent="0.2">
      <c r="B973" s="53"/>
    </row>
    <row r="974" spans="2:2" ht="14.25" customHeight="1" x14ac:dyDescent="0.2">
      <c r="B974" s="53"/>
    </row>
    <row r="975" spans="2:2" ht="14.25" customHeight="1" x14ac:dyDescent="0.2">
      <c r="B975" s="53"/>
    </row>
    <row r="976" spans="2:2" ht="14.25" customHeight="1" x14ac:dyDescent="0.2">
      <c r="B976" s="53"/>
    </row>
    <row r="977" spans="2:2" ht="14.25" customHeight="1" x14ac:dyDescent="0.2">
      <c r="B977" s="53"/>
    </row>
    <row r="978" spans="2:2" ht="14.25" customHeight="1" x14ac:dyDescent="0.2">
      <c r="B978" s="53"/>
    </row>
    <row r="979" spans="2:2" ht="14.25" customHeight="1" x14ac:dyDescent="0.2">
      <c r="B979" s="53"/>
    </row>
    <row r="980" spans="2:2" ht="14.25" customHeight="1" x14ac:dyDescent="0.2">
      <c r="B980" s="53"/>
    </row>
    <row r="981" spans="2:2" ht="14.25" customHeight="1" x14ac:dyDescent="0.2">
      <c r="B981" s="53"/>
    </row>
    <row r="982" spans="2:2" ht="14.25" customHeight="1" x14ac:dyDescent="0.2">
      <c r="B982" s="53"/>
    </row>
    <row r="983" spans="2:2" ht="14.25" customHeight="1" x14ac:dyDescent="0.2">
      <c r="B983" s="53"/>
    </row>
    <row r="984" spans="2:2" ht="14.25" customHeight="1" x14ac:dyDescent="0.2">
      <c r="B984" s="53"/>
    </row>
    <row r="985" spans="2:2" ht="14.25" customHeight="1" x14ac:dyDescent="0.2">
      <c r="B985" s="53"/>
    </row>
    <row r="986" spans="2:2" ht="14.25" customHeight="1" x14ac:dyDescent="0.2">
      <c r="B986" s="53"/>
    </row>
    <row r="987" spans="2:2" ht="14.25" customHeight="1" x14ac:dyDescent="0.2">
      <c r="B987" s="53"/>
    </row>
    <row r="988" spans="2:2" ht="14.25" customHeight="1" x14ac:dyDescent="0.2">
      <c r="B988" s="53"/>
    </row>
    <row r="989" spans="2:2" ht="14.25" customHeight="1" x14ac:dyDescent="0.2">
      <c r="B989" s="53"/>
    </row>
    <row r="990" spans="2:2" ht="14.25" customHeight="1" x14ac:dyDescent="0.2">
      <c r="B990" s="53"/>
    </row>
    <row r="991" spans="2:2" ht="14.25" customHeight="1" x14ac:dyDescent="0.2">
      <c r="B991" s="53"/>
    </row>
    <row r="992" spans="2:2" ht="14.25" customHeight="1" x14ac:dyDescent="0.2">
      <c r="B992" s="53"/>
    </row>
    <row r="993" spans="2:2" ht="14.25" customHeight="1" x14ac:dyDescent="0.2">
      <c r="B993" s="53"/>
    </row>
    <row r="994" spans="2:2" ht="14.25" customHeight="1" x14ac:dyDescent="0.2">
      <c r="B994" s="53"/>
    </row>
    <row r="995" spans="2:2" ht="14.25" customHeight="1" x14ac:dyDescent="0.2">
      <c r="B995" s="53"/>
    </row>
    <row r="996" spans="2:2" ht="14.25" customHeight="1" x14ac:dyDescent="0.2">
      <c r="B996" s="53"/>
    </row>
    <row r="997" spans="2:2" ht="14.25" customHeight="1" x14ac:dyDescent="0.2">
      <c r="B997" s="53"/>
    </row>
    <row r="998" spans="2:2" ht="14.25" customHeight="1" x14ac:dyDescent="0.2">
      <c r="B998" s="53"/>
    </row>
    <row r="999" spans="2:2" ht="14.25" customHeight="1" x14ac:dyDescent="0.2">
      <c r="B999" s="53"/>
    </row>
    <row r="1000" spans="2:2" ht="14.25" customHeight="1" x14ac:dyDescent="0.2">
      <c r="B1000" s="53"/>
    </row>
    <row r="1001" spans="2:2" ht="14.25" customHeight="1" x14ac:dyDescent="0.2">
      <c r="B1001" s="53"/>
    </row>
  </sheetData>
  <autoFilter ref="A7:E77" xr:uid="{00000000-0009-0000-0000-000000000000}"/>
  <mergeCells count="20">
    <mergeCell ref="A92:D92"/>
    <mergeCell ref="A43:D43"/>
    <mergeCell ref="A45:E45"/>
    <mergeCell ref="A53:D53"/>
    <mergeCell ref="A55:E55"/>
    <mergeCell ref="A65:D65"/>
    <mergeCell ref="A67:E67"/>
    <mergeCell ref="A73:D73"/>
    <mergeCell ref="A75:E75"/>
    <mergeCell ref="A78:D78"/>
    <mergeCell ref="A80:E80"/>
    <mergeCell ref="A88:D88"/>
    <mergeCell ref="A90:E90"/>
    <mergeCell ref="A1:E6"/>
    <mergeCell ref="A7:E7"/>
    <mergeCell ref="A10:E10"/>
    <mergeCell ref="A13:D13"/>
    <mergeCell ref="A30:E30"/>
    <mergeCell ref="A28:D28"/>
    <mergeCell ref="A15:E15"/>
  </mergeCells>
  <pageMargins left="0.7" right="0.7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Sorina</cp:lastModifiedBy>
  <cp:lastPrinted>2023-07-17T10:58:15Z</cp:lastPrinted>
  <dcterms:modified xsi:type="dcterms:W3CDTF">2023-07-17T10:59:10Z</dcterms:modified>
</cp:coreProperties>
</file>