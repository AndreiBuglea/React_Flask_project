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NDREI TARABIC\Desktop\"/>
    </mc:Choice>
  </mc:AlternateContent>
  <bookViews>
    <workbookView xWindow="0" yWindow="0" windowWidth="19200" windowHeight="6180"/>
  </bookViews>
  <sheets>
    <sheet name="Sheet1" sheetId="1" r:id="rId1"/>
    <sheet name="Sheet3" sheetId="3" r:id="rId2"/>
    <sheet name="Sheet6" sheetId="6" r:id="rId3"/>
    <sheet name="Sheet5" sheetId="5" r:id="rId4"/>
    <sheet name="Sheet4" sheetId="4" r:id="rId5"/>
    <sheet name="Sheet2" sheetId="2" r:id="rId6"/>
  </sheets>
  <externalReferences>
    <externalReference r:id="rId7"/>
  </externalReferences>
  <definedNames>
    <definedName name="_xlnm._FilterDatabase" localSheetId="0" hidden="1">Sheet1!$A$7:$G$49</definedName>
  </definedNames>
  <calcPr calcId="162913"/>
</workbook>
</file>

<file path=xl/calcChain.xml><?xml version="1.0" encoding="utf-8"?>
<calcChain xmlns="http://schemas.openxmlformats.org/spreadsheetml/2006/main">
  <c r="F30" i="1" l="1"/>
  <c r="F21" i="1"/>
  <c r="D89" i="3" l="1"/>
  <c r="D82" i="3"/>
  <c r="D56" i="3"/>
  <c r="D47" i="3"/>
  <c r="B46" i="3"/>
  <c r="D39" i="3"/>
  <c r="D35" i="3"/>
  <c r="D24" i="3"/>
  <c r="D23" i="3"/>
  <c r="D25" i="3" s="1"/>
  <c r="D21" i="3"/>
  <c r="D16" i="3"/>
  <c r="D90" i="3" l="1"/>
  <c r="F48" i="1"/>
  <c r="F41" i="1" l="1"/>
  <c r="B20" i="1" l="1"/>
  <c r="F13" i="1" l="1"/>
  <c r="F49" i="1" s="1"/>
</calcChain>
</file>

<file path=xl/sharedStrings.xml><?xml version="1.0" encoding="utf-8"?>
<sst xmlns="http://schemas.openxmlformats.org/spreadsheetml/2006/main" count="306" uniqueCount="151">
  <si>
    <t>Denumire Proiect</t>
  </si>
  <si>
    <t>Id proiect</t>
  </si>
  <si>
    <t>START UP BANAT</t>
  </si>
  <si>
    <t>Stimularea spiritului antreprenorial in randul tinerilor din Regiunea de Vest - Start Smart</t>
  </si>
  <si>
    <t xml:space="preserve"> </t>
  </si>
  <si>
    <t>Sustinerea si Motivarea Antreprenorilor Responsabili si Talentati - SMART Start Up</t>
  </si>
  <si>
    <t xml:space="preserve">Atelierul de antreprenori </t>
  </si>
  <si>
    <t>Program integrat de stimulare a antreprenoriatului in mediul urban din Regiunea Vest</t>
  </si>
  <si>
    <t>Fii un student pregatit pentru jobul dorit - Start Job!</t>
  </si>
  <si>
    <t>Împreună universități și angajatori. Un sistem integrat de programe educaționale inovative</t>
  </si>
  <si>
    <t>Educație antreprenorială și consiliere profesională pentru doctoranzi și cercetători postdoctorali în vederea organizării transferului de cunoaștere din domeniul științelor socio-umaniste către piața muncii (ATRiUM)</t>
  </si>
  <si>
    <t>Dezvoltarea abilitatilor antreprenoriale pentru doctoranzi si postdoctoranzi in domeniul stiintelor economice</t>
  </si>
  <si>
    <t>Educational and Networking Tools on development of Authentic Performance for professional integration PAN
cod proiect (eMS RORS 215)</t>
  </si>
  <si>
    <t>Buget</t>
  </si>
  <si>
    <t>TOTAL</t>
  </si>
  <si>
    <t>Nr. Crt.</t>
  </si>
  <si>
    <t>Manager</t>
  </si>
  <si>
    <t>Granturi - POCU</t>
  </si>
  <si>
    <t>Petcu Vlad</t>
  </si>
  <si>
    <t>Ilie Marian</t>
  </si>
  <si>
    <t>Inserția pe piața muncii - vectorul învățământului terțiar</t>
  </si>
  <si>
    <t>Acces și echitate în universități. Demersuri antreprenoriale inovatoare pentru studenți și cadre didactice.</t>
  </si>
  <si>
    <t>TOTAL GRANTURI POCU</t>
  </si>
  <si>
    <t>Granturi - POR</t>
  </si>
  <si>
    <t>Extindere spatii de invatamant existente pentru Facultatea de Arte si Design si Facultatea de Muzica si Teatru</t>
  </si>
  <si>
    <t>Reabilitarea si extinderea spatiilor de invatamant in vederea cresterii relevantei invatamantului universitar socio-economic</t>
  </si>
  <si>
    <t>Reabilitarea acoperişului şi faţadelor Facultăţii de Chimie, Biologie şi Geografie</t>
  </si>
  <si>
    <t>TOTAL GRANTURI POR</t>
  </si>
  <si>
    <t>ROmania Serbia NETwork for assessing and disseminating the impact of copper mining activities on water quality in the cross-border area
cod proiect (e-MS no.RORS-337)</t>
  </si>
  <si>
    <t>Granturi - Ro-Se</t>
  </si>
  <si>
    <t>TOTAL GRANTURI Ro-Se</t>
  </si>
  <si>
    <t>Proiecte ROSE</t>
  </si>
  <si>
    <t>Consilierea în carieră de calitate – cheia pentru combaterea abandonului universitar - Fac. Stiinte Politice</t>
  </si>
  <si>
    <t>Consilierea în carieră de calitate - cheia pentru combaterea abandonului universitar - Fac. Ed. Fizica si Sport</t>
  </si>
  <si>
    <t>Consilierea în carieră de calitate – cheia pentru combaterea abandonului universitar - Fac. Arte si Design</t>
  </si>
  <si>
    <t>Consilierea în cariera de calitate – cheia pentru combaterea abandonului universitar – CCC-CBG</t>
  </si>
  <si>
    <t>Servicii socio-educaționale de Tutorat, Adaptare, Remediere și Consiliere oferite de FMI – cheia pentru combaterea abandonului universitar (STARC - FMI)</t>
  </si>
  <si>
    <t>Servicii socio-educative oferite de FLIT pentru prevenirea abandonului studenților(SSE-FLIT)</t>
  </si>
  <si>
    <t>Consilierea în carieră de calitate – cheia pentru combaterea abandonului universitar - Fac. Drept</t>
  </si>
  <si>
    <t>Nagel Adrian</t>
  </si>
  <si>
    <t>Total proiecte ROSE</t>
  </si>
  <si>
    <t>Servicii de consiliere juridică pentru victime ale unor abuzuri sau nereguli din administrație și justiție SIPOCA 377</t>
  </si>
  <si>
    <t>Mutiu Florentina Olimpia</t>
  </si>
  <si>
    <t>POCA</t>
  </si>
  <si>
    <t>Granturi - POCA</t>
  </si>
  <si>
    <t>Total proiecte POCA</t>
  </si>
  <si>
    <t>Centru de inovare și excelență în domeniul politicilor publice de tineret</t>
  </si>
  <si>
    <t>Bacanu Horea</t>
  </si>
  <si>
    <t>euro</t>
  </si>
  <si>
    <t>AG 264/SGU/NC/II - 25.11.2019</t>
  </si>
  <si>
    <t>AG 226/SGU/NC/II - 18.09.2019</t>
  </si>
  <si>
    <t>AG 181/SGU/NC/II - 11.09.2019</t>
  </si>
  <si>
    <t>AG 169/SGU/NC/II - 10.09.2019</t>
  </si>
  <si>
    <t>AG 170/SGU/NC/II - 10.09.2019</t>
  </si>
  <si>
    <t>AG 225/SGU/NC/II - 18.09.2019</t>
  </si>
  <si>
    <t>AG264</t>
  </si>
  <si>
    <t>Centru de învățare pentru tehnologie, artă și sport</t>
  </si>
  <si>
    <t>AG296/SGU/CI/III-18.12.2019</t>
  </si>
  <si>
    <t>Granturi FDI</t>
  </si>
  <si>
    <t>UVT teaching &amp; learning brand - implementarea sistemului integrat de asigurare a calității procesului de învățământ din UVT</t>
  </si>
  <si>
    <t>Bază de practică aplicativă - Universitatea de Vest din Timișoara</t>
  </si>
  <si>
    <t>„Stai în UVT”: susținerea progresului studentului de-a lungul întregului program de studii universitare si finalizarea acestora, prin servicii de consiliere educațională și în carieră (StaInUVT)</t>
  </si>
  <si>
    <t>Dezvoltare Instituţională prin Internaţionalizare pentru Toţi la Universitatea de Vest din Timişoara</t>
  </si>
  <si>
    <t>Competențe și abilități antreprenoriale și de inovare SAS UVT</t>
  </si>
  <si>
    <t>CNFIS-FDI-2019-0408</t>
  </si>
  <si>
    <t>CNFIS-FDI-2019-0744</t>
  </si>
  <si>
    <t>CNFIS-FDI-2019-0153</t>
  </si>
  <si>
    <t>CNFIS-FDI-2019-0108</t>
  </si>
  <si>
    <t>CNFIS-FDI-2019-0177</t>
  </si>
  <si>
    <t>Paloș Ramona</t>
  </si>
  <si>
    <t>Ivan Oana</t>
  </si>
  <si>
    <t>Roja Alexandru</t>
  </si>
  <si>
    <t>Lucheș Daniel</t>
  </si>
  <si>
    <t xml:space="preserve">451.650,00 </t>
  </si>
  <si>
    <t>CNFIS-FDI-2019-0471</t>
  </si>
  <si>
    <t>FDI 2019</t>
  </si>
  <si>
    <t>Total proiecte FDI</t>
  </si>
  <si>
    <t>Suport pentru programe de studii de înaltă calitate,
utilizând instrumente ITC</t>
  </si>
  <si>
    <t>SECURITY CHALLENGES IN THE BALKANS</t>
  </si>
  <si>
    <t>Educaţie şi comunitate</t>
  </si>
  <si>
    <t>Excelență în educație</t>
  </si>
  <si>
    <t>Universitatea de Vest din Timișoara în lume
1. Participarea Universităţii de Vest din Tmişoara la cea de-a 15-a ediție a Summit-ului Învățământului Superior organizată de către Federația Camerelor de Comerț și Industrie din India (FICCI), împreună cu Ministerul Resurselor Umane și Ministerul Comerțului și Industriei din India.
2. Participarea UVT la Vietnam Global Education Fair în cadrul Pavilionului României, organizat de Consiliul Naţional al Rectorilor
3. Participarea UVT la târgul educaţional China Education Expo-China Annual Conference for International Education&amp;Expo 2019
4. Participarea UVT la reuniunea anuală a University Alliance of the Silk Road 2019</t>
  </si>
  <si>
    <t xml:space="preserve">Liberty Movement </t>
  </si>
  <si>
    <t>Granturi FSS</t>
  </si>
  <si>
    <t>Proteasa Viorel</t>
  </si>
  <si>
    <t>Barna Flavia</t>
  </si>
  <si>
    <t xml:space="preserve">Georgescu Laurențiu </t>
  </si>
  <si>
    <t xml:space="preserve">Cererea de acțiune 4 </t>
  </si>
  <si>
    <t xml:space="preserve">Cererea de acțiune 1 </t>
  </si>
  <si>
    <t>Cererea de acțiune 2</t>
  </si>
  <si>
    <t>Cererea de acțiune 3</t>
  </si>
  <si>
    <t>Cererea de acțiune 5</t>
  </si>
  <si>
    <t>Dezbateri interculturale. Strategii formative privind dezvoltarea învățământului românesc</t>
  </si>
  <si>
    <t>Stan Dragotescu Andra</t>
  </si>
  <si>
    <t>FSS 2019</t>
  </si>
  <si>
    <t>Cererea de proiect 1</t>
  </si>
  <si>
    <t>Cererea de proiect 2</t>
  </si>
  <si>
    <t>PROIECTE DAIP 2019 - 2020</t>
  </si>
  <si>
    <t>Proiecte extracurriculare</t>
  </si>
  <si>
    <t>Concursul de informatica Stefan Maruster, editia I 2020</t>
  </si>
  <si>
    <t>Școala națională de leadership pentru elevi</t>
  </si>
  <si>
    <t>Școala națională de leadership pentru studenți</t>
  </si>
  <si>
    <t>Abecedarul Carierei - concurs idei de afaceri</t>
  </si>
  <si>
    <t>StudentFest 2020, secțiunea de foto-video – concurs FOTOGRAFIE și VIDEOGRAFIE</t>
  </si>
  <si>
    <t>West Summer University</t>
  </si>
  <si>
    <t xml:space="preserve">StudentFest 2020, secțiunea de teatru – concurs IMPROVIZAȚIE </t>
  </si>
  <si>
    <t>StudentFest 2020, secțiunea de muzică – concurs TRUPE</t>
  </si>
  <si>
    <t xml:space="preserve">Gala OSUT 30 </t>
  </si>
  <si>
    <t>ITFest 2020</t>
  </si>
  <si>
    <t>Cupa UNISPORTVEST - competiție sportivă studențească, Universitatea de Vest din Timișoara, FEFS</t>
  </si>
  <si>
    <t>Cupa ECOTURUVT - concurs de activități sportive outdoor și educație ecologică - competiție sportivă studențească, Universitatea de Vest din Timișoara, FEFS</t>
  </si>
  <si>
    <t>DESIGN TALKS. SESIUNEA 1</t>
  </si>
  <si>
    <t>POTOC LAND ART</t>
  </si>
  <si>
    <t>A.I.R. MINIS</t>
  </si>
  <si>
    <t xml:space="preserve">Liviu Mafteiu Scai </t>
  </si>
  <si>
    <t>Ordin 3111 - implementare 2020</t>
  </si>
  <si>
    <t>Extracurriculare</t>
  </si>
  <si>
    <t>Total proiecte FSS 2019-2020</t>
  </si>
  <si>
    <t>Ordin 3111 - implementare 2019</t>
  </si>
  <si>
    <t>Concurs national de procese simulate: drept constitutional (National Moot Court Competition)</t>
  </si>
  <si>
    <t>Organizare ONIS 2019-Olimpiada Nationala de Informatica pentru Studenti la Universitatea de Vest din Timisoara</t>
  </si>
  <si>
    <t xml:space="preserve">Cupa Ecoturuvt-Competitie sportiva studenteasca de activitati sportive outdoor si educatie ecologica </t>
  </si>
  <si>
    <t>Concurs national de fizica "Constantin Salceanu"</t>
  </si>
  <si>
    <t>ITFEST 2019</t>
  </si>
  <si>
    <t>Cupa Universitaria-Competitie sportiva studenteasca</t>
  </si>
  <si>
    <t>Proiect Mobilitati</t>
  </si>
  <si>
    <t xml:space="preserve">Proiect Exchange </t>
  </si>
  <si>
    <t>Total proiecte extracurriculare</t>
  </si>
  <si>
    <t>Alin Marian Tasmir</t>
  </si>
  <si>
    <t>Boldor Ovidiu</t>
  </si>
  <si>
    <t>Ginga Stephanie</t>
  </si>
  <si>
    <t>Daniel Vizman</t>
  </si>
  <si>
    <t>Cultura si educatia azi</t>
  </si>
  <si>
    <t>Dezvoltarea culturii artistice</t>
  </si>
  <si>
    <t>Diana Andreescu</t>
  </si>
  <si>
    <t>Revolutia culturala web 2.0 si implicatiile acesteia asupra invatamintului stem</t>
  </si>
  <si>
    <t>Vlad Andrei Chiriac</t>
  </si>
  <si>
    <t>Informatica-motor de dezvoltare locala si regionala in Timisoara si Banat</t>
  </si>
  <si>
    <t>Viorel Negru</t>
  </si>
  <si>
    <t>Universitatea muzicala-festivalul UNIVIBES-editia a III a &amp; Festivalul International Timisoara Muzicala si Academica –editia XXV-a</t>
  </si>
  <si>
    <t>Vlad Chereches</t>
  </si>
  <si>
    <t>Hurduzeu Nicolae</t>
  </si>
  <si>
    <t>CJT 2019</t>
  </si>
  <si>
    <t>Proiecte culturale CJT</t>
  </si>
  <si>
    <t>Total proiecte CJT</t>
  </si>
  <si>
    <t>Proiecte CJT 2019</t>
  </si>
  <si>
    <t>Tip Proiect (POCU, POR, IPA,, POCA, ROSE, FSS, FDI, Extracurriculare, CJT)</t>
  </si>
  <si>
    <t>Finalizat/In implementare</t>
  </si>
  <si>
    <t>Finalizat</t>
  </si>
  <si>
    <t xml:space="preserve">Finalizat </t>
  </si>
  <si>
    <t xml:space="preserve">PROIECTE DAIP - FINALIZATE ÎN PERIOADA 2019 - 2020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</si>
</sst>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Arial"/>
    </font>
    <font>
      <sz val="10"/>
      <color theme="1"/>
      <name val="Calibri"/>
      <family val="2"/>
    </font>
    <font>
      <b/>
      <sz val="10"/>
      <name val="Calibri"/>
      <family val="2"/>
    </font>
    <font>
      <b/>
      <sz val="10"/>
      <color rgb="FFFF0000"/>
      <name val="Calibri"/>
      <family val="2"/>
    </font>
    <font>
      <b/>
      <sz val="10"/>
      <color theme="1"/>
      <name val="Calibri"/>
      <family val="2"/>
    </font>
    <font>
      <sz val="10"/>
      <color rgb="FFFF0000"/>
      <name val="Calibri"/>
      <family val="2"/>
    </font>
    <font>
      <sz val="10"/>
      <name val="Calibri"/>
      <family val="2"/>
    </font>
    <font>
      <b/>
      <sz val="10"/>
      <color theme="1"/>
      <name val="Trebuchet MS"/>
      <family val="2"/>
    </font>
    <font>
      <sz val="10"/>
      <color theme="1"/>
      <name val="Trebuchet MS"/>
      <family val="2"/>
    </font>
    <font>
      <b/>
      <sz val="10"/>
      <name val="Trebuchet MS"/>
      <family val="2"/>
    </font>
    <font>
      <b/>
      <sz val="10"/>
      <color rgb="FFFF0000"/>
      <name val="Trebuchet MS"/>
      <family val="2"/>
    </font>
    <font>
      <sz val="10"/>
      <color rgb="FF000000"/>
      <name val="Trebuchet MS"/>
      <family val="2"/>
    </font>
    <font>
      <sz val="10"/>
      <name val="Trebuchet MS"/>
      <family val="2"/>
    </font>
    <font>
      <sz val="10"/>
      <color rgb="FFFF0000"/>
      <name val="Trebuchet MS"/>
      <family val="2"/>
    </font>
  </fonts>
  <fills count="1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FFFFCC"/>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applyFont="1" applyAlignment="1"/>
    <xf numFmtId="0" fontId="1" fillId="0" borderId="0" xfId="0" applyFont="1" applyAlignment="1"/>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xf>
    <xf numFmtId="0" fontId="1" fillId="0" borderId="0" xfId="0" applyFont="1" applyAlignment="1">
      <alignment horizontal="center" wrapText="1"/>
    </xf>
    <xf numFmtId="0" fontId="1" fillId="0" borderId="0" xfId="0" applyFont="1" applyAlignment="1">
      <alignment wrapText="1"/>
    </xf>
    <xf numFmtId="4" fontId="1" fillId="0" borderId="1" xfId="0" applyNumberFormat="1" applyFont="1" applyBorder="1" applyAlignment="1">
      <alignment horizontal="center" wrapText="1"/>
    </xf>
    <xf numFmtId="4" fontId="3" fillId="8" borderId="1" xfId="0" applyNumberFormat="1" applyFont="1" applyFill="1" applyBorder="1" applyAlignment="1">
      <alignment horizontal="center" wrapText="1"/>
    </xf>
    <xf numFmtId="4" fontId="3" fillId="2" borderId="1" xfId="0" applyNumberFormat="1" applyFont="1" applyFill="1" applyBorder="1" applyAlignment="1">
      <alignment horizontal="center" wrapText="1"/>
    </xf>
    <xf numFmtId="0" fontId="1" fillId="0" borderId="2" xfId="0" applyFont="1" applyBorder="1"/>
    <xf numFmtId="0" fontId="5" fillId="0" borderId="0" xfId="0" applyFont="1" applyAlignment="1"/>
    <xf numFmtId="0" fontId="6" fillId="0" borderId="1" xfId="0" applyFont="1" applyFill="1" applyBorder="1" applyAlignment="1">
      <alignment horizontal="center" wrapText="1"/>
    </xf>
    <xf numFmtId="0" fontId="6" fillId="0" borderId="1" xfId="0" applyFont="1" applyFill="1" applyBorder="1" applyAlignment="1">
      <alignment horizontal="center"/>
    </xf>
    <xf numFmtId="0" fontId="6" fillId="0" borderId="0" xfId="0" applyFont="1" applyAlignment="1">
      <alignment horizontal="center"/>
    </xf>
    <xf numFmtId="4" fontId="6" fillId="0" borderId="1" xfId="0" applyNumberFormat="1" applyFont="1" applyFill="1" applyBorder="1" applyAlignment="1">
      <alignment horizontal="center" wrapText="1"/>
    </xf>
    <xf numFmtId="0" fontId="6" fillId="0" borderId="1" xfId="0" applyFont="1" applyFill="1" applyBorder="1" applyAlignment="1">
      <alignment horizontal="right"/>
    </xf>
    <xf numFmtId="4" fontId="3" fillId="3" borderId="1" xfId="0" applyNumberFormat="1" applyFont="1" applyFill="1" applyBorder="1" applyAlignment="1">
      <alignment horizontal="center" wrapText="1"/>
    </xf>
    <xf numFmtId="4" fontId="3" fillId="9" borderId="1" xfId="0" applyNumberFormat="1" applyFont="1" applyFill="1" applyBorder="1" applyAlignment="1">
      <alignment horizontal="center" wrapText="1"/>
    </xf>
    <xf numFmtId="0" fontId="6" fillId="0" borderId="0" xfId="0" applyFont="1" applyAlignment="1">
      <alignment horizontal="center" wrapText="1"/>
    </xf>
    <xf numFmtId="4" fontId="3" fillId="10" borderId="1" xfId="0" applyNumberFormat="1" applyFont="1" applyFill="1" applyBorder="1" applyAlignment="1">
      <alignment horizontal="center" wrapText="1"/>
    </xf>
    <xf numFmtId="4" fontId="1" fillId="0" borderId="1" xfId="0" applyNumberFormat="1" applyFont="1" applyFill="1" applyBorder="1" applyAlignment="1">
      <alignment horizontal="center" wrapText="1"/>
    </xf>
    <xf numFmtId="4" fontId="3" fillId="11" borderId="1" xfId="0" applyNumberFormat="1" applyFont="1" applyFill="1" applyBorder="1" applyAlignment="1">
      <alignment horizontal="center"/>
    </xf>
    <xf numFmtId="0" fontId="8" fillId="0" borderId="0" xfId="0" applyFont="1" applyAlignment="1"/>
    <xf numFmtId="0" fontId="8" fillId="0" borderId="1" xfId="0" applyFont="1" applyBorder="1"/>
    <xf numFmtId="0" fontId="8" fillId="0" borderId="1" xfId="0" applyFont="1" applyBorder="1" applyAlignment="1">
      <alignment horizontal="center" wrapText="1"/>
    </xf>
    <xf numFmtId="4" fontId="8" fillId="0" borderId="1" xfId="0" applyNumberFormat="1" applyFont="1" applyBorder="1" applyAlignment="1">
      <alignment horizontal="center" wrapText="1"/>
    </xf>
    <xf numFmtId="0" fontId="8" fillId="0" borderId="0" xfId="0" applyFont="1"/>
    <xf numFmtId="0" fontId="11" fillId="0" borderId="1" xfId="0" applyFont="1" applyBorder="1" applyAlignment="1">
      <alignment horizontal="center" wrapText="1"/>
    </xf>
    <xf numFmtId="4" fontId="10" fillId="4" borderId="1" xfId="0" applyNumberFormat="1" applyFont="1" applyFill="1" applyBorder="1" applyAlignment="1">
      <alignment horizontal="center" wrapText="1"/>
    </xf>
    <xf numFmtId="4" fontId="10" fillId="5" borderId="1" xfId="0" applyNumberFormat="1" applyFont="1" applyFill="1" applyBorder="1" applyAlignment="1">
      <alignment horizontal="center" wrapText="1"/>
    </xf>
    <xf numFmtId="2" fontId="8" fillId="0" borderId="1" xfId="0" applyNumberFormat="1" applyFont="1" applyBorder="1" applyAlignment="1"/>
    <xf numFmtId="0" fontId="8" fillId="0" borderId="1" xfId="0" applyFont="1" applyBorder="1" applyAlignment="1"/>
    <xf numFmtId="2" fontId="8" fillId="0" borderId="1" xfId="0" applyNumberFormat="1" applyFont="1" applyBorder="1" applyAlignment="1">
      <alignment horizontal="right"/>
    </xf>
    <xf numFmtId="0" fontId="8" fillId="0" borderId="1" xfId="0" applyFont="1" applyBorder="1" applyAlignment="1">
      <alignment horizontal="right"/>
    </xf>
    <xf numFmtId="4" fontId="10" fillId="6" borderId="1" xfId="0" applyNumberFormat="1" applyFont="1" applyFill="1" applyBorder="1" applyAlignment="1">
      <alignment horizontal="center" wrapText="1"/>
    </xf>
    <xf numFmtId="0" fontId="12" fillId="0" borderId="1" xfId="0" applyFont="1" applyBorder="1"/>
    <xf numFmtId="0" fontId="12" fillId="0" borderId="1" xfId="0" applyFont="1" applyBorder="1" applyAlignment="1">
      <alignment horizontal="center" wrapText="1"/>
    </xf>
    <xf numFmtId="4" fontId="12" fillId="0" borderId="1" xfId="0" applyNumberFormat="1" applyFont="1" applyBorder="1" applyAlignment="1">
      <alignment horizontal="center" wrapText="1"/>
    </xf>
    <xf numFmtId="0" fontId="12" fillId="0" borderId="0" xfId="0" applyFont="1" applyAlignment="1"/>
    <xf numFmtId="4" fontId="10" fillId="7" borderId="1" xfId="0" applyNumberFormat="1" applyFont="1" applyFill="1" applyBorder="1" applyAlignment="1">
      <alignment horizontal="center" wrapText="1"/>
    </xf>
    <xf numFmtId="0" fontId="8" fillId="0" borderId="2" xfId="0" applyFont="1" applyBorder="1"/>
    <xf numFmtId="4" fontId="10" fillId="8" borderId="1" xfId="0" applyNumberFormat="1" applyFont="1" applyFill="1" applyBorder="1" applyAlignment="1">
      <alignment horizontal="center" wrapText="1"/>
    </xf>
    <xf numFmtId="0" fontId="12" fillId="0" borderId="1" xfId="0" applyFont="1" applyFill="1" applyBorder="1" applyAlignment="1">
      <alignment horizontal="right"/>
    </xf>
    <xf numFmtId="0" fontId="12" fillId="0" borderId="1" xfId="0" applyFont="1" applyFill="1" applyBorder="1" applyAlignment="1">
      <alignment horizontal="center" wrapText="1"/>
    </xf>
    <xf numFmtId="0" fontId="12" fillId="0" borderId="1" xfId="0" applyFont="1" applyFill="1" applyBorder="1" applyAlignment="1">
      <alignment horizontal="center"/>
    </xf>
    <xf numFmtId="4" fontId="12" fillId="0" borderId="1" xfId="0" applyNumberFormat="1" applyFont="1" applyFill="1" applyBorder="1" applyAlignment="1">
      <alignment horizontal="center" wrapText="1"/>
    </xf>
    <xf numFmtId="4" fontId="10" fillId="3" borderId="1" xfId="0" applyNumberFormat="1" applyFont="1" applyFill="1" applyBorder="1" applyAlignment="1">
      <alignment horizontal="center" wrapText="1"/>
    </xf>
    <xf numFmtId="0" fontId="12" fillId="0" borderId="0" xfId="0" applyFont="1" applyAlignment="1">
      <alignment horizontal="center" wrapText="1"/>
    </xf>
    <xf numFmtId="4" fontId="10" fillId="9" borderId="1" xfId="0" applyNumberFormat="1" applyFont="1" applyFill="1" applyBorder="1" applyAlignment="1">
      <alignment horizontal="center" wrapText="1"/>
    </xf>
    <xf numFmtId="0" fontId="8" fillId="0" borderId="1" xfId="0" applyFont="1" applyFill="1" applyBorder="1" applyAlignment="1">
      <alignment horizontal="center" wrapText="1"/>
    </xf>
    <xf numFmtId="4" fontId="10" fillId="10" borderId="1" xfId="0" applyNumberFormat="1" applyFont="1" applyFill="1" applyBorder="1" applyAlignment="1">
      <alignment horizontal="center" wrapText="1"/>
    </xf>
    <xf numFmtId="4" fontId="8" fillId="0" borderId="1" xfId="0" applyNumberFormat="1" applyFont="1" applyFill="1" applyBorder="1" applyAlignment="1">
      <alignment horizontal="center" wrapText="1"/>
    </xf>
    <xf numFmtId="4" fontId="10" fillId="11" borderId="1" xfId="0" applyNumberFormat="1" applyFont="1" applyFill="1" applyBorder="1" applyAlignment="1">
      <alignment horizontal="center"/>
    </xf>
    <xf numFmtId="0" fontId="13" fillId="0" borderId="0" xfId="0" applyFont="1" applyAlignment="1"/>
    <xf numFmtId="4" fontId="10" fillId="2" borderId="1" xfId="0" applyNumberFormat="1" applyFont="1" applyFill="1" applyBorder="1" applyAlignment="1">
      <alignment horizontal="center" wrapText="1"/>
    </xf>
    <xf numFmtId="4" fontId="8" fillId="0" borderId="0" xfId="0" applyNumberFormat="1" applyFont="1" applyAlignment="1"/>
    <xf numFmtId="0" fontId="8" fillId="0" borderId="0" xfId="0" applyFont="1" applyAlignment="1">
      <alignment horizontal="center" wrapText="1"/>
    </xf>
    <xf numFmtId="0" fontId="8" fillId="0" borderId="0" xfId="0" applyFont="1" applyAlignment="1">
      <alignment wrapText="1"/>
    </xf>
    <xf numFmtId="0" fontId="6" fillId="0" borderId="5" xfId="0" applyFont="1" applyFill="1" applyBorder="1" applyAlignment="1">
      <alignment horizontal="right"/>
    </xf>
    <xf numFmtId="0" fontId="6" fillId="0" borderId="5" xfId="0" applyFont="1" applyFill="1" applyBorder="1" applyAlignment="1">
      <alignment horizontal="center" wrapText="1"/>
    </xf>
    <xf numFmtId="0" fontId="6" fillId="0" borderId="5" xfId="0" applyFont="1" applyFill="1" applyBorder="1" applyAlignment="1">
      <alignment horizontal="center"/>
    </xf>
    <xf numFmtId="4" fontId="6" fillId="0" borderId="5" xfId="0" applyNumberFormat="1" applyFont="1" applyFill="1" applyBorder="1" applyAlignment="1">
      <alignment horizontal="center" wrapText="1"/>
    </xf>
    <xf numFmtId="0" fontId="1" fillId="2" borderId="1" xfId="0" applyFont="1" applyFill="1" applyBorder="1" applyAlignment="1"/>
    <xf numFmtId="0" fontId="1" fillId="12" borderId="1" xfId="0" applyFont="1" applyFill="1" applyBorder="1" applyAlignment="1"/>
    <xf numFmtId="0" fontId="5" fillId="12" borderId="1" xfId="0" applyFont="1" applyFill="1" applyBorder="1" applyAlignment="1"/>
    <xf numFmtId="0" fontId="1" fillId="12" borderId="0" xfId="0" applyFont="1" applyFill="1" applyAlignment="1"/>
    <xf numFmtId="0" fontId="1" fillId="13" borderId="1" xfId="0" applyFont="1" applyFill="1" applyBorder="1" applyAlignment="1"/>
    <xf numFmtId="0" fontId="1" fillId="10" borderId="1" xfId="0" applyFont="1" applyFill="1" applyBorder="1" applyAlignment="1"/>
    <xf numFmtId="0" fontId="1" fillId="14" borderId="1" xfId="0" applyFont="1" applyFill="1" applyBorder="1" applyAlignment="1"/>
    <xf numFmtId="0" fontId="1" fillId="9" borderId="1" xfId="0" applyFont="1" applyFill="1" applyBorder="1" applyAlignment="1"/>
    <xf numFmtId="0" fontId="1" fillId="3" borderId="1" xfId="0" applyFont="1" applyFill="1" applyBorder="1" applyAlignment="1"/>
    <xf numFmtId="0" fontId="1" fillId="8" borderId="1" xfId="0" applyFont="1" applyFill="1" applyBorder="1" applyAlignment="1"/>
    <xf numFmtId="0" fontId="4" fillId="2" borderId="5" xfId="0" applyFont="1" applyFill="1" applyBorder="1" applyAlignment="1">
      <alignment horizontal="center" wrapText="1"/>
    </xf>
    <xf numFmtId="0" fontId="4" fillId="2" borderId="7" xfId="0" applyFont="1" applyFill="1" applyBorder="1" applyAlignment="1">
      <alignment horizontal="center" wrapText="1"/>
    </xf>
    <xf numFmtId="0" fontId="4" fillId="2" borderId="6" xfId="0" applyFont="1" applyFill="1" applyBorder="1" applyAlignment="1">
      <alignment horizontal="center" wrapText="1"/>
    </xf>
    <xf numFmtId="0" fontId="4" fillId="2" borderId="1" xfId="0" applyFont="1" applyFill="1" applyBorder="1" applyAlignment="1">
      <alignment horizontal="center"/>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4" xfId="0" applyFont="1" applyFill="1" applyBorder="1" applyAlignment="1">
      <alignment horizontal="left"/>
    </xf>
    <xf numFmtId="0" fontId="4" fillId="2" borderId="1" xfId="0" applyFont="1" applyFill="1" applyBorder="1" applyAlignment="1">
      <alignment horizontal="center" wrapText="1"/>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applyAlignment="1">
      <alignment horizontal="left"/>
    </xf>
    <xf numFmtId="0" fontId="3" fillId="11" borderId="2" xfId="0" applyFont="1" applyFill="1" applyBorder="1" applyAlignment="1">
      <alignment horizontal="left"/>
    </xf>
    <xf numFmtId="0" fontId="3" fillId="11" borderId="3" xfId="0" applyFont="1" applyFill="1" applyBorder="1" applyAlignment="1">
      <alignment horizontal="left"/>
    </xf>
    <xf numFmtId="0" fontId="3" fillId="11" borderId="4" xfId="0" applyFont="1" applyFill="1" applyBorder="1" applyAlignment="1">
      <alignment horizontal="left"/>
    </xf>
    <xf numFmtId="0" fontId="3" fillId="9" borderId="2" xfId="0" applyFont="1" applyFill="1" applyBorder="1" applyAlignment="1"/>
    <xf numFmtId="0" fontId="3" fillId="9" borderId="3" xfId="0" applyFont="1" applyFill="1" applyBorder="1" applyAlignment="1"/>
    <xf numFmtId="0" fontId="3" fillId="9" borderId="4" xfId="0" applyFont="1" applyFill="1" applyBorder="1" applyAlignment="1"/>
    <xf numFmtId="0" fontId="3" fillId="8" borderId="2" xfId="0" applyFont="1" applyFill="1" applyBorder="1" applyAlignment="1"/>
    <xf numFmtId="0" fontId="3" fillId="8" borderId="3" xfId="0" applyFont="1" applyFill="1" applyBorder="1" applyAlignment="1"/>
    <xf numFmtId="0" fontId="3" fillId="8" borderId="4" xfId="0" applyFont="1" applyFill="1" applyBorder="1" applyAlignment="1"/>
    <xf numFmtId="0" fontId="3" fillId="8" borderId="2" xfId="0" applyFont="1" applyFill="1" applyBorder="1" applyAlignment="1">
      <alignment horizontal="left"/>
    </xf>
    <xf numFmtId="0" fontId="3" fillId="8" borderId="3" xfId="0" applyFont="1" applyFill="1" applyBorder="1" applyAlignment="1">
      <alignment horizontal="left"/>
    </xf>
    <xf numFmtId="0" fontId="3" fillId="8" borderId="4" xfId="0" applyFont="1" applyFill="1" applyBorder="1" applyAlignment="1">
      <alignment horizontal="left"/>
    </xf>
    <xf numFmtId="0" fontId="3" fillId="9" borderId="2" xfId="0" applyFont="1" applyFill="1" applyBorder="1" applyAlignment="1">
      <alignment horizontal="left"/>
    </xf>
    <xf numFmtId="0" fontId="3" fillId="9" borderId="3" xfId="0" applyFont="1" applyFill="1" applyBorder="1" applyAlignment="1">
      <alignment horizontal="left"/>
    </xf>
    <xf numFmtId="0" fontId="3" fillId="9" borderId="4" xfId="0" applyFont="1" applyFill="1" applyBorder="1" applyAlignment="1">
      <alignment horizontal="left"/>
    </xf>
    <xf numFmtId="0" fontId="3" fillId="10" borderId="2" xfId="0" applyFont="1" applyFill="1" applyBorder="1" applyAlignment="1">
      <alignment horizontal="left"/>
    </xf>
    <xf numFmtId="0" fontId="3" fillId="10" borderId="3" xfId="0" applyFont="1" applyFill="1" applyBorder="1" applyAlignment="1">
      <alignment horizontal="left"/>
    </xf>
    <xf numFmtId="0" fontId="3" fillId="10" borderId="4" xfId="0" applyFont="1" applyFill="1" applyBorder="1" applyAlignment="1">
      <alignment horizontal="left"/>
    </xf>
    <xf numFmtId="0" fontId="7" fillId="2" borderId="1" xfId="0" applyFont="1" applyFill="1" applyBorder="1" applyAlignment="1">
      <alignment horizontal="center"/>
    </xf>
    <xf numFmtId="0" fontId="7" fillId="2" borderId="1" xfId="0" applyFont="1" applyFill="1" applyBorder="1" applyAlignment="1">
      <alignment horizontal="center" wrapText="1"/>
    </xf>
    <xf numFmtId="0" fontId="9" fillId="2" borderId="1" xfId="0" applyFont="1" applyFill="1" applyBorder="1"/>
    <xf numFmtId="0" fontId="9" fillId="2" borderId="1" xfId="0" applyFont="1" applyFill="1" applyBorder="1" applyAlignment="1">
      <alignment wrapText="1"/>
    </xf>
    <xf numFmtId="0" fontId="10" fillId="3" borderId="2" xfId="0" applyFont="1" applyFill="1" applyBorder="1" applyAlignment="1">
      <alignment horizontal="left"/>
    </xf>
    <xf numFmtId="0" fontId="10" fillId="3" borderId="3" xfId="0" applyFont="1" applyFill="1" applyBorder="1" applyAlignment="1">
      <alignment horizontal="left"/>
    </xf>
    <xf numFmtId="0" fontId="10" fillId="3" borderId="2" xfId="0" applyFont="1" applyFill="1" applyBorder="1" applyAlignment="1"/>
    <xf numFmtId="0" fontId="10" fillId="3" borderId="3" xfId="0" applyFont="1" applyFill="1" applyBorder="1" applyAlignment="1"/>
    <xf numFmtId="0" fontId="10" fillId="3" borderId="4" xfId="0" applyFont="1" applyFill="1" applyBorder="1" applyAlignment="1"/>
    <xf numFmtId="0" fontId="10" fillId="4" borderId="2" xfId="0" applyFont="1" applyFill="1" applyBorder="1" applyAlignment="1">
      <alignment horizontal="left"/>
    </xf>
    <xf numFmtId="0" fontId="10" fillId="4" borderId="3" xfId="0" applyFont="1" applyFill="1" applyBorder="1" applyAlignment="1">
      <alignment horizontal="left"/>
    </xf>
    <xf numFmtId="0" fontId="10" fillId="5" borderId="2" xfId="0" applyFont="1" applyFill="1" applyBorder="1" applyAlignment="1">
      <alignment horizontal="left"/>
    </xf>
    <xf numFmtId="0" fontId="10" fillId="5" borderId="3" xfId="0" applyFont="1" applyFill="1" applyBorder="1" applyAlignment="1">
      <alignment horizontal="left"/>
    </xf>
    <xf numFmtId="0" fontId="10" fillId="5" borderId="4" xfId="0" applyFont="1" applyFill="1" applyBorder="1" applyAlignment="1">
      <alignment horizontal="left"/>
    </xf>
    <xf numFmtId="0" fontId="10" fillId="6" borderId="2" xfId="0" applyFont="1" applyFill="1" applyBorder="1" applyAlignment="1">
      <alignment horizontal="left"/>
    </xf>
    <xf numFmtId="0" fontId="10" fillId="6" borderId="3" xfId="0" applyFont="1" applyFill="1" applyBorder="1" applyAlignment="1">
      <alignment horizontal="left"/>
    </xf>
    <xf numFmtId="0" fontId="10" fillId="6" borderId="4" xfId="0" applyFont="1" applyFill="1" applyBorder="1" applyAlignment="1">
      <alignment horizontal="left"/>
    </xf>
    <xf numFmtId="0" fontId="10" fillId="7" borderId="2" xfId="0" applyFont="1" applyFill="1" applyBorder="1" applyAlignment="1">
      <alignment horizontal="left"/>
    </xf>
    <xf numFmtId="0" fontId="10" fillId="7" borderId="3" xfId="0" applyFont="1" applyFill="1" applyBorder="1" applyAlignment="1">
      <alignment horizontal="left"/>
    </xf>
    <xf numFmtId="0" fontId="10" fillId="7" borderId="4" xfId="0" applyFont="1" applyFill="1" applyBorder="1" applyAlignment="1">
      <alignment horizontal="left"/>
    </xf>
    <xf numFmtId="0" fontId="10" fillId="8" borderId="2" xfId="0" applyFont="1" applyFill="1" applyBorder="1" applyAlignment="1"/>
    <xf numFmtId="0" fontId="10" fillId="8" borderId="3" xfId="0" applyFont="1" applyFill="1" applyBorder="1" applyAlignment="1"/>
    <xf numFmtId="0" fontId="10" fillId="8" borderId="4" xfId="0" applyFont="1" applyFill="1" applyBorder="1" applyAlignment="1"/>
    <xf numFmtId="0" fontId="10" fillId="8" borderId="2" xfId="0" applyFont="1" applyFill="1" applyBorder="1" applyAlignment="1">
      <alignment horizontal="left"/>
    </xf>
    <xf numFmtId="0" fontId="10" fillId="8" borderId="3" xfId="0" applyFont="1" applyFill="1" applyBorder="1" applyAlignment="1">
      <alignment horizontal="left"/>
    </xf>
    <xf numFmtId="0" fontId="10" fillId="3" borderId="4" xfId="0" applyFont="1" applyFill="1" applyBorder="1" applyAlignment="1">
      <alignment horizontal="left"/>
    </xf>
    <xf numFmtId="0" fontId="10" fillId="2" borderId="1" xfId="0" applyFont="1" applyFill="1" applyBorder="1" applyAlignment="1">
      <alignment horizontal="left"/>
    </xf>
    <xf numFmtId="0" fontId="10" fillId="9" borderId="2" xfId="0" applyFont="1" applyFill="1" applyBorder="1" applyAlignment="1"/>
    <xf numFmtId="0" fontId="10" fillId="9" borderId="3" xfId="0" applyFont="1" applyFill="1" applyBorder="1" applyAlignment="1"/>
    <xf numFmtId="0" fontId="10" fillId="9" borderId="4" xfId="0" applyFont="1" applyFill="1" applyBorder="1" applyAlignment="1"/>
    <xf numFmtId="0" fontId="10" fillId="9" borderId="2" xfId="0" applyFont="1" applyFill="1" applyBorder="1" applyAlignment="1">
      <alignment horizontal="left"/>
    </xf>
    <xf numFmtId="0" fontId="10" fillId="9" borderId="3" xfId="0" applyFont="1" applyFill="1" applyBorder="1" applyAlignment="1">
      <alignment horizontal="left"/>
    </xf>
    <xf numFmtId="0" fontId="10" fillId="10" borderId="2" xfId="0" applyFont="1" applyFill="1" applyBorder="1" applyAlignment="1">
      <alignment horizontal="left"/>
    </xf>
    <xf numFmtId="0" fontId="10" fillId="10" borderId="3" xfId="0" applyFont="1" applyFill="1" applyBorder="1" applyAlignment="1">
      <alignment horizontal="left"/>
    </xf>
    <xf numFmtId="0" fontId="10" fillId="10" borderId="4" xfId="0" applyFont="1" applyFill="1" applyBorder="1" applyAlignment="1">
      <alignment horizontal="left"/>
    </xf>
    <xf numFmtId="0" fontId="10" fillId="11" borderId="2" xfId="0" applyFont="1" applyFill="1" applyBorder="1" applyAlignment="1">
      <alignment horizontal="left"/>
    </xf>
    <xf numFmtId="0" fontId="10" fillId="11" borderId="3" xfId="0" applyFont="1" applyFill="1" applyBorder="1" applyAlignment="1">
      <alignment horizontal="left"/>
    </xf>
    <xf numFmtId="0" fontId="10" fillId="11" borderId="4" xfId="0" applyFont="1" applyFill="1" applyBorder="1" applyAlignment="1">
      <alignment horizontal="left"/>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0</xdr:rowOff>
    </xdr:from>
    <xdr:to>
      <xdr:col>7</xdr:col>
      <xdr:colOff>31750</xdr:colOff>
      <xdr:row>5</xdr:row>
      <xdr:rowOff>152400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 y="0"/>
          <a:ext cx="9150350" cy="977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lanificari%20DAIP\Proiecte%20gestionate%20DAIP_2019-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row r="37">
          <cell r="B37" t="str">
            <v>Cercetare de excelență in UVT prin dezvoltarea resursei umane și consolidarea centrelor de cercetare</v>
          </cell>
        </row>
      </sheetData>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7"/>
  <sheetViews>
    <sheetView tabSelected="1" workbookViewId="0">
      <selection activeCell="A7" sqref="A7:F7"/>
    </sheetView>
  </sheetViews>
  <sheetFormatPr defaultColWidth="12.6640625" defaultRowHeight="13" x14ac:dyDescent="0.3"/>
  <cols>
    <col min="1" max="1" width="3.58203125" style="1" customWidth="1"/>
    <col min="2" max="2" width="47.6640625" style="6" customWidth="1"/>
    <col min="3" max="3" width="14.9140625" style="1" customWidth="1"/>
    <col min="4" max="4" width="12.6640625" style="1" customWidth="1"/>
    <col min="5" max="5" width="15.25" style="1" customWidth="1"/>
    <col min="6" max="6" width="13.58203125" style="5" customWidth="1"/>
    <col min="7" max="7" width="12.6640625" style="66"/>
    <col min="8" max="16384" width="12.6640625" style="1"/>
  </cols>
  <sheetData>
    <row r="1" spans="1:7" x14ac:dyDescent="0.3">
      <c r="A1" s="140"/>
      <c r="B1" s="140"/>
      <c r="C1" s="140"/>
      <c r="D1" s="140"/>
      <c r="E1" s="140"/>
      <c r="F1" s="140"/>
      <c r="G1" s="140"/>
    </row>
    <row r="2" spans="1:7" x14ac:dyDescent="0.3">
      <c r="A2" s="140"/>
      <c r="B2" s="140"/>
      <c r="C2" s="140"/>
      <c r="D2" s="140"/>
      <c r="E2" s="140"/>
      <c r="F2" s="140"/>
      <c r="G2" s="140"/>
    </row>
    <row r="3" spans="1:7" x14ac:dyDescent="0.3">
      <c r="A3" s="140"/>
      <c r="B3" s="140"/>
      <c r="C3" s="140"/>
      <c r="D3" s="140"/>
      <c r="E3" s="140"/>
      <c r="F3" s="140"/>
      <c r="G3" s="140"/>
    </row>
    <row r="4" spans="1:7" x14ac:dyDescent="0.3">
      <c r="A4" s="140"/>
      <c r="B4" s="140"/>
      <c r="C4" s="140"/>
      <c r="D4" s="140"/>
      <c r="E4" s="140"/>
      <c r="F4" s="140"/>
      <c r="G4" s="140"/>
    </row>
    <row r="5" spans="1:7" x14ac:dyDescent="0.3">
      <c r="A5" s="140"/>
      <c r="B5" s="140"/>
      <c r="C5" s="140"/>
      <c r="D5" s="140"/>
      <c r="E5" s="140"/>
      <c r="F5" s="140"/>
      <c r="G5" s="140"/>
    </row>
    <row r="6" spans="1:7" x14ac:dyDescent="0.3">
      <c r="A6" s="140"/>
      <c r="B6" s="140"/>
      <c r="C6" s="140"/>
      <c r="D6" s="140"/>
      <c r="E6" s="140"/>
      <c r="F6" s="140"/>
      <c r="G6" s="140"/>
    </row>
    <row r="7" spans="1:7" ht="13" customHeight="1" x14ac:dyDescent="0.3">
      <c r="A7" s="76" t="s">
        <v>150</v>
      </c>
      <c r="B7" s="76"/>
      <c r="C7" s="76"/>
      <c r="D7" s="76"/>
      <c r="E7" s="76"/>
      <c r="F7" s="76"/>
      <c r="G7" s="73" t="s">
        <v>147</v>
      </c>
    </row>
    <row r="8" spans="1:7" x14ac:dyDescent="0.3">
      <c r="A8" s="80" t="s">
        <v>15</v>
      </c>
      <c r="B8" s="80" t="s">
        <v>0</v>
      </c>
      <c r="C8" s="80" t="s">
        <v>1</v>
      </c>
      <c r="D8" s="73" t="s">
        <v>16</v>
      </c>
      <c r="E8" s="80" t="s">
        <v>146</v>
      </c>
      <c r="F8" s="80" t="s">
        <v>13</v>
      </c>
      <c r="G8" s="74"/>
    </row>
    <row r="9" spans="1:7" ht="46.5" customHeight="1" x14ac:dyDescent="0.3">
      <c r="A9" s="81"/>
      <c r="B9" s="82"/>
      <c r="C9" s="81"/>
      <c r="D9" s="75"/>
      <c r="E9" s="81"/>
      <c r="F9" s="80"/>
      <c r="G9" s="75"/>
    </row>
    <row r="10" spans="1:7" x14ac:dyDescent="0.3">
      <c r="A10" s="90" t="s">
        <v>44</v>
      </c>
      <c r="B10" s="91"/>
      <c r="C10" s="91"/>
      <c r="D10" s="91"/>
      <c r="E10" s="91"/>
      <c r="F10" s="92"/>
      <c r="G10" s="72"/>
    </row>
    <row r="11" spans="1:7" ht="26" x14ac:dyDescent="0.3">
      <c r="A11" s="2">
        <v>1</v>
      </c>
      <c r="B11" s="3" t="s">
        <v>41</v>
      </c>
      <c r="C11" s="3">
        <v>111830</v>
      </c>
      <c r="D11" s="3" t="s">
        <v>42</v>
      </c>
      <c r="E11" s="4" t="s">
        <v>43</v>
      </c>
      <c r="F11" s="7">
        <v>554208.57999999996</v>
      </c>
      <c r="G11" s="64" t="s">
        <v>149</v>
      </c>
    </row>
    <row r="12" spans="1:7" ht="26" x14ac:dyDescent="0.3">
      <c r="A12" s="10">
        <v>2</v>
      </c>
      <c r="B12" s="3" t="s">
        <v>46</v>
      </c>
      <c r="C12" s="3">
        <v>112332</v>
      </c>
      <c r="D12" s="3" t="s">
        <v>47</v>
      </c>
      <c r="E12" s="4" t="s">
        <v>43</v>
      </c>
      <c r="F12" s="7">
        <v>283452</v>
      </c>
      <c r="G12" s="64" t="s">
        <v>148</v>
      </c>
    </row>
    <row r="13" spans="1:7" x14ac:dyDescent="0.3">
      <c r="A13" s="93" t="s">
        <v>45</v>
      </c>
      <c r="B13" s="94"/>
      <c r="C13" s="94"/>
      <c r="D13" s="94"/>
      <c r="E13" s="95"/>
      <c r="F13" s="8">
        <f>SUM(F11:F12)</f>
        <v>837660.58</v>
      </c>
      <c r="G13" s="72"/>
    </row>
    <row r="14" spans="1:7" x14ac:dyDescent="0.3">
      <c r="A14" s="77" t="s">
        <v>58</v>
      </c>
      <c r="B14" s="78"/>
      <c r="C14" s="78"/>
      <c r="D14" s="78"/>
      <c r="E14" s="78"/>
      <c r="F14" s="79"/>
      <c r="G14" s="71"/>
    </row>
    <row r="15" spans="1:7" ht="26" x14ac:dyDescent="0.3">
      <c r="A15" s="16">
        <v>1</v>
      </c>
      <c r="B15" s="12" t="s">
        <v>59</v>
      </c>
      <c r="C15" s="13" t="s">
        <v>64</v>
      </c>
      <c r="D15" s="13" t="s">
        <v>19</v>
      </c>
      <c r="E15" s="13" t="s">
        <v>75</v>
      </c>
      <c r="F15" s="15">
        <v>380000</v>
      </c>
      <c r="G15" s="64" t="s">
        <v>148</v>
      </c>
    </row>
    <row r="16" spans="1:7" x14ac:dyDescent="0.3">
      <c r="A16" s="16">
        <v>2</v>
      </c>
      <c r="B16" s="12" t="s">
        <v>60</v>
      </c>
      <c r="C16" s="13" t="s">
        <v>65</v>
      </c>
      <c r="D16" s="14" t="s">
        <v>18</v>
      </c>
      <c r="E16" s="13" t="s">
        <v>75</v>
      </c>
      <c r="F16" s="15" t="s">
        <v>73</v>
      </c>
      <c r="G16" s="64" t="s">
        <v>148</v>
      </c>
    </row>
    <row r="17" spans="1:7" ht="39" x14ac:dyDescent="0.3">
      <c r="A17" s="16">
        <v>3</v>
      </c>
      <c r="B17" s="12" t="s">
        <v>61</v>
      </c>
      <c r="C17" s="13" t="s">
        <v>66</v>
      </c>
      <c r="D17" s="13" t="s">
        <v>69</v>
      </c>
      <c r="E17" s="13" t="s">
        <v>75</v>
      </c>
      <c r="F17" s="15">
        <v>422000</v>
      </c>
      <c r="G17" s="64" t="s">
        <v>148</v>
      </c>
    </row>
    <row r="18" spans="1:7" ht="26" x14ac:dyDescent="0.3">
      <c r="A18" s="16">
        <v>4</v>
      </c>
      <c r="B18" s="12" t="s">
        <v>62</v>
      </c>
      <c r="C18" s="13" t="s">
        <v>67</v>
      </c>
      <c r="D18" s="13" t="s">
        <v>70</v>
      </c>
      <c r="E18" s="13" t="s">
        <v>75</v>
      </c>
      <c r="F18" s="15">
        <v>399560</v>
      </c>
      <c r="G18" s="64" t="s">
        <v>148</v>
      </c>
    </row>
    <row r="19" spans="1:7" x14ac:dyDescent="0.3">
      <c r="A19" s="16">
        <v>5</v>
      </c>
      <c r="B19" s="12" t="s">
        <v>63</v>
      </c>
      <c r="C19" s="13" t="s">
        <v>68</v>
      </c>
      <c r="D19" s="13" t="s">
        <v>71</v>
      </c>
      <c r="E19" s="13" t="s">
        <v>75</v>
      </c>
      <c r="F19" s="15">
        <v>144186.14000000001</v>
      </c>
      <c r="G19" s="64" t="s">
        <v>148</v>
      </c>
    </row>
    <row r="20" spans="1:7" ht="26" x14ac:dyDescent="0.3">
      <c r="A20" s="16">
        <v>6</v>
      </c>
      <c r="B20" s="12" t="str">
        <f>[1]Sheet1!$B$37</f>
        <v>Cercetare de excelență in UVT prin dezvoltarea resursei umane și consolidarea centrelor de cercetare</v>
      </c>
      <c r="C20" s="13" t="s">
        <v>74</v>
      </c>
      <c r="D20" s="13" t="s">
        <v>72</v>
      </c>
      <c r="E20" s="13" t="s">
        <v>75</v>
      </c>
      <c r="F20" s="15">
        <v>387000</v>
      </c>
      <c r="G20" s="64" t="s">
        <v>148</v>
      </c>
    </row>
    <row r="21" spans="1:7" x14ac:dyDescent="0.3">
      <c r="A21" s="77" t="s">
        <v>76</v>
      </c>
      <c r="B21" s="78"/>
      <c r="C21" s="78"/>
      <c r="D21" s="78"/>
      <c r="E21" s="79"/>
      <c r="F21" s="17">
        <f>SUM(F15:F20)</f>
        <v>1732746.1400000001</v>
      </c>
      <c r="G21" s="71"/>
    </row>
    <row r="22" spans="1:7" x14ac:dyDescent="0.3">
      <c r="A22" s="87" t="s">
        <v>83</v>
      </c>
      <c r="B22" s="88"/>
      <c r="C22" s="88"/>
      <c r="D22" s="88"/>
      <c r="E22" s="88"/>
      <c r="F22" s="89"/>
      <c r="G22" s="70"/>
    </row>
    <row r="23" spans="1:7" ht="26" x14ac:dyDescent="0.3">
      <c r="A23" s="16">
        <v>1</v>
      </c>
      <c r="B23" s="12" t="s">
        <v>77</v>
      </c>
      <c r="C23" s="13" t="s">
        <v>87</v>
      </c>
      <c r="D23" s="13" t="s">
        <v>84</v>
      </c>
      <c r="E23" s="13" t="s">
        <v>94</v>
      </c>
      <c r="F23" s="15">
        <v>195000</v>
      </c>
      <c r="G23" s="64" t="s">
        <v>148</v>
      </c>
    </row>
    <row r="24" spans="1:7" x14ac:dyDescent="0.3">
      <c r="A24" s="16">
        <v>2</v>
      </c>
      <c r="B24" s="12" t="s">
        <v>78</v>
      </c>
      <c r="C24" s="13" t="s">
        <v>88</v>
      </c>
      <c r="D24" s="13" t="s">
        <v>85</v>
      </c>
      <c r="E24" s="13" t="s">
        <v>94</v>
      </c>
      <c r="F24" s="15">
        <v>152800</v>
      </c>
      <c r="G24" s="64" t="s">
        <v>148</v>
      </c>
    </row>
    <row r="25" spans="1:7" x14ac:dyDescent="0.3">
      <c r="A25" s="16">
        <v>3</v>
      </c>
      <c r="B25" s="12" t="s">
        <v>79</v>
      </c>
      <c r="C25" s="13" t="s">
        <v>89</v>
      </c>
      <c r="D25" s="13" t="s">
        <v>85</v>
      </c>
      <c r="E25" s="13" t="s">
        <v>94</v>
      </c>
      <c r="F25" s="15">
        <v>103000</v>
      </c>
      <c r="G25" s="64" t="s">
        <v>148</v>
      </c>
    </row>
    <row r="26" spans="1:7" x14ac:dyDescent="0.3">
      <c r="A26" s="16">
        <v>4</v>
      </c>
      <c r="B26" s="12" t="s">
        <v>80</v>
      </c>
      <c r="C26" s="13" t="s">
        <v>90</v>
      </c>
      <c r="D26" s="13" t="s">
        <v>85</v>
      </c>
      <c r="E26" s="13" t="s">
        <v>94</v>
      </c>
      <c r="F26" s="15">
        <v>184000</v>
      </c>
      <c r="G26" s="64" t="s">
        <v>148</v>
      </c>
    </row>
    <row r="27" spans="1:7" ht="156" x14ac:dyDescent="0.3">
      <c r="A27" s="16">
        <v>5</v>
      </c>
      <c r="B27" s="12" t="s">
        <v>81</v>
      </c>
      <c r="C27" s="13" t="s">
        <v>91</v>
      </c>
      <c r="D27" s="13" t="s">
        <v>70</v>
      </c>
      <c r="E27" s="13" t="s">
        <v>94</v>
      </c>
      <c r="F27" s="15">
        <v>174358</v>
      </c>
      <c r="G27" s="64" t="s">
        <v>148</v>
      </c>
    </row>
    <row r="28" spans="1:7" x14ac:dyDescent="0.3">
      <c r="A28" s="16">
        <v>6</v>
      </c>
      <c r="B28" s="12" t="s">
        <v>82</v>
      </c>
      <c r="C28" s="13" t="s">
        <v>95</v>
      </c>
      <c r="D28" s="13" t="s">
        <v>86</v>
      </c>
      <c r="E28" s="13" t="s">
        <v>94</v>
      </c>
      <c r="F28" s="15">
        <v>236750</v>
      </c>
      <c r="G28" s="64" t="s">
        <v>148</v>
      </c>
    </row>
    <row r="29" spans="1:7" ht="26" x14ac:dyDescent="0.3">
      <c r="A29" s="59">
        <v>7</v>
      </c>
      <c r="B29" s="60" t="s">
        <v>92</v>
      </c>
      <c r="C29" s="19" t="s">
        <v>96</v>
      </c>
      <c r="D29" s="60" t="s">
        <v>93</v>
      </c>
      <c r="E29" s="61" t="s">
        <v>94</v>
      </c>
      <c r="F29" s="62">
        <v>558100</v>
      </c>
      <c r="G29" s="64" t="s">
        <v>148</v>
      </c>
    </row>
    <row r="30" spans="1:7" x14ac:dyDescent="0.3">
      <c r="A30" s="96" t="s">
        <v>117</v>
      </c>
      <c r="B30" s="97"/>
      <c r="C30" s="97"/>
      <c r="D30" s="97"/>
      <c r="E30" s="98"/>
      <c r="F30" s="18">
        <f>SUM(F23:F29)</f>
        <v>1604008</v>
      </c>
      <c r="G30" s="70"/>
    </row>
    <row r="31" spans="1:7" x14ac:dyDescent="0.3">
      <c r="A31" s="99" t="s">
        <v>98</v>
      </c>
      <c r="B31" s="100"/>
      <c r="C31" s="100"/>
      <c r="D31" s="100"/>
      <c r="E31" s="100"/>
      <c r="F31" s="101"/>
      <c r="G31" s="68"/>
    </row>
    <row r="32" spans="1:7" ht="26" x14ac:dyDescent="0.3">
      <c r="A32" s="16">
        <v>16</v>
      </c>
      <c r="B32" s="3" t="s">
        <v>119</v>
      </c>
      <c r="C32" s="12" t="s">
        <v>118</v>
      </c>
      <c r="D32" s="12" t="s">
        <v>128</v>
      </c>
      <c r="E32" s="13" t="s">
        <v>116</v>
      </c>
      <c r="F32" s="15">
        <v>4285.83</v>
      </c>
      <c r="G32" s="64" t="s">
        <v>148</v>
      </c>
    </row>
    <row r="33" spans="1:7" ht="26" x14ac:dyDescent="0.3">
      <c r="A33" s="16">
        <v>17</v>
      </c>
      <c r="B33" s="3" t="s">
        <v>120</v>
      </c>
      <c r="C33" s="12" t="s">
        <v>118</v>
      </c>
      <c r="D33" s="12" t="s">
        <v>114</v>
      </c>
      <c r="E33" s="13" t="s">
        <v>116</v>
      </c>
      <c r="F33" s="15">
        <v>18011.650000000001</v>
      </c>
      <c r="G33" s="64" t="s">
        <v>148</v>
      </c>
    </row>
    <row r="34" spans="1:7" ht="26" x14ac:dyDescent="0.3">
      <c r="A34" s="16">
        <v>18</v>
      </c>
      <c r="B34" s="3" t="s">
        <v>121</v>
      </c>
      <c r="C34" s="12" t="s">
        <v>118</v>
      </c>
      <c r="D34" s="12" t="s">
        <v>39</v>
      </c>
      <c r="E34" s="13" t="s">
        <v>116</v>
      </c>
      <c r="F34" s="15">
        <v>23735.66</v>
      </c>
      <c r="G34" s="64" t="s">
        <v>148</v>
      </c>
    </row>
    <row r="35" spans="1:7" ht="26" x14ac:dyDescent="0.3">
      <c r="A35" s="16">
        <v>19</v>
      </c>
      <c r="B35" s="12" t="s">
        <v>122</v>
      </c>
      <c r="C35" s="12" t="s">
        <v>118</v>
      </c>
      <c r="D35" s="12" t="s">
        <v>131</v>
      </c>
      <c r="E35" s="13" t="s">
        <v>116</v>
      </c>
      <c r="F35" s="15">
        <v>4536</v>
      </c>
      <c r="G35" s="64" t="s">
        <v>148</v>
      </c>
    </row>
    <row r="36" spans="1:7" ht="26" x14ac:dyDescent="0.3">
      <c r="A36" s="16">
        <v>20</v>
      </c>
      <c r="B36" s="12" t="s">
        <v>123</v>
      </c>
      <c r="C36" s="12" t="s">
        <v>118</v>
      </c>
      <c r="D36" s="12" t="s">
        <v>129</v>
      </c>
      <c r="E36" s="13" t="s">
        <v>116</v>
      </c>
      <c r="F36" s="15">
        <v>20912.59</v>
      </c>
      <c r="G36" s="64" t="s">
        <v>148</v>
      </c>
    </row>
    <row r="37" spans="1:7" ht="26" x14ac:dyDescent="0.3">
      <c r="A37" s="16">
        <v>21</v>
      </c>
      <c r="B37" s="12" t="s">
        <v>124</v>
      </c>
      <c r="C37" s="12" t="s">
        <v>118</v>
      </c>
      <c r="D37" s="12" t="s">
        <v>39</v>
      </c>
      <c r="E37" s="13" t="s">
        <v>116</v>
      </c>
      <c r="F37" s="15">
        <v>18820.5</v>
      </c>
      <c r="G37" s="64" t="s">
        <v>148</v>
      </c>
    </row>
    <row r="38" spans="1:7" ht="26" x14ac:dyDescent="0.3">
      <c r="A38" s="16">
        <v>22</v>
      </c>
      <c r="B38" s="12" t="s">
        <v>104</v>
      </c>
      <c r="C38" s="12" t="s">
        <v>118</v>
      </c>
      <c r="D38" s="12" t="s">
        <v>129</v>
      </c>
      <c r="E38" s="13" t="s">
        <v>116</v>
      </c>
      <c r="F38" s="15">
        <v>46200</v>
      </c>
      <c r="G38" s="64" t="s">
        <v>148</v>
      </c>
    </row>
    <row r="39" spans="1:7" ht="26" x14ac:dyDescent="0.3">
      <c r="A39" s="16">
        <v>23</v>
      </c>
      <c r="B39" s="12" t="s">
        <v>125</v>
      </c>
      <c r="C39" s="12" t="s">
        <v>118</v>
      </c>
      <c r="D39" s="12" t="s">
        <v>130</v>
      </c>
      <c r="E39" s="13" t="s">
        <v>116</v>
      </c>
      <c r="F39" s="15">
        <v>10394.74</v>
      </c>
      <c r="G39" s="64" t="s">
        <v>148</v>
      </c>
    </row>
    <row r="40" spans="1:7" ht="26" x14ac:dyDescent="0.3">
      <c r="A40" s="16">
        <v>24</v>
      </c>
      <c r="B40" s="12" t="s">
        <v>126</v>
      </c>
      <c r="C40" s="12" t="s">
        <v>118</v>
      </c>
      <c r="D40" s="12" t="s">
        <v>130</v>
      </c>
      <c r="E40" s="13" t="s">
        <v>116</v>
      </c>
      <c r="F40" s="15">
        <v>7602.03</v>
      </c>
      <c r="G40" s="64" t="s">
        <v>148</v>
      </c>
    </row>
    <row r="41" spans="1:7" x14ac:dyDescent="0.3">
      <c r="A41" s="99" t="s">
        <v>127</v>
      </c>
      <c r="B41" s="100"/>
      <c r="C41" s="100"/>
      <c r="D41" s="100"/>
      <c r="E41" s="101"/>
      <c r="F41" s="20">
        <f>SUM(F32:F40)</f>
        <v>154498.99999999997</v>
      </c>
      <c r="G41" s="67"/>
    </row>
    <row r="42" spans="1:7" x14ac:dyDescent="0.3">
      <c r="A42" s="84" t="s">
        <v>145</v>
      </c>
      <c r="B42" s="85"/>
      <c r="C42" s="85"/>
      <c r="D42" s="85"/>
      <c r="E42" s="85"/>
      <c r="F42" s="86"/>
      <c r="G42" s="69"/>
    </row>
    <row r="43" spans="1:7" ht="26" x14ac:dyDescent="0.3">
      <c r="A43" s="16">
        <v>1</v>
      </c>
      <c r="B43" s="12" t="s">
        <v>132</v>
      </c>
      <c r="C43" s="12" t="s">
        <v>143</v>
      </c>
      <c r="D43" s="12" t="s">
        <v>141</v>
      </c>
      <c r="E43" s="13" t="s">
        <v>142</v>
      </c>
      <c r="F43" s="21">
        <v>22500</v>
      </c>
      <c r="G43" s="64" t="s">
        <v>148</v>
      </c>
    </row>
    <row r="44" spans="1:7" ht="26" x14ac:dyDescent="0.3">
      <c r="A44" s="16">
        <v>2</v>
      </c>
      <c r="B44" s="12" t="s">
        <v>133</v>
      </c>
      <c r="C44" s="12" t="s">
        <v>143</v>
      </c>
      <c r="D44" s="12" t="s">
        <v>134</v>
      </c>
      <c r="E44" s="13" t="s">
        <v>142</v>
      </c>
      <c r="F44" s="21">
        <v>30000</v>
      </c>
      <c r="G44" s="64" t="s">
        <v>148</v>
      </c>
    </row>
    <row r="45" spans="1:7" ht="26" x14ac:dyDescent="0.3">
      <c r="A45" s="16">
        <v>3</v>
      </c>
      <c r="B45" s="12" t="s">
        <v>135</v>
      </c>
      <c r="C45" s="12" t="s">
        <v>143</v>
      </c>
      <c r="D45" s="12" t="s">
        <v>136</v>
      </c>
      <c r="E45" s="13" t="s">
        <v>142</v>
      </c>
      <c r="F45" s="21">
        <v>10000</v>
      </c>
      <c r="G45" s="64" t="s">
        <v>148</v>
      </c>
    </row>
    <row r="46" spans="1:7" ht="26" x14ac:dyDescent="0.3">
      <c r="A46" s="16">
        <v>4</v>
      </c>
      <c r="B46" s="12" t="s">
        <v>137</v>
      </c>
      <c r="C46" s="12" t="s">
        <v>143</v>
      </c>
      <c r="D46" s="12" t="s">
        <v>138</v>
      </c>
      <c r="E46" s="13" t="s">
        <v>142</v>
      </c>
      <c r="F46" s="21">
        <v>10000</v>
      </c>
      <c r="G46" s="64" t="s">
        <v>148</v>
      </c>
    </row>
    <row r="47" spans="1:7" ht="26" x14ac:dyDescent="0.3">
      <c r="A47" s="16">
        <v>5</v>
      </c>
      <c r="B47" s="12" t="s">
        <v>139</v>
      </c>
      <c r="C47" s="12" t="s">
        <v>143</v>
      </c>
      <c r="D47" s="13" t="s">
        <v>140</v>
      </c>
      <c r="E47" s="13" t="s">
        <v>142</v>
      </c>
      <c r="F47" s="21">
        <v>98000</v>
      </c>
      <c r="G47" s="64" t="s">
        <v>148</v>
      </c>
    </row>
    <row r="48" spans="1:7" s="11" customFormat="1" ht="12.5" customHeight="1" x14ac:dyDescent="0.3">
      <c r="A48" s="84" t="s">
        <v>144</v>
      </c>
      <c r="B48" s="85"/>
      <c r="C48" s="85"/>
      <c r="D48" s="85"/>
      <c r="E48" s="86"/>
      <c r="F48" s="22">
        <f>SUM(F43:F47)</f>
        <v>170500</v>
      </c>
      <c r="G48" s="65"/>
    </row>
    <row r="49" spans="1:7" x14ac:dyDescent="0.3">
      <c r="A49" s="83" t="s">
        <v>14</v>
      </c>
      <c r="B49" s="83"/>
      <c r="C49" s="83"/>
      <c r="D49" s="83"/>
      <c r="E49" s="83"/>
      <c r="F49" s="9">
        <f>F13+F21+F30+F41+F48</f>
        <v>4499413.72</v>
      </c>
      <c r="G49" s="63"/>
    </row>
    <row r="50" spans="1:7" x14ac:dyDescent="0.3">
      <c r="B50" s="5"/>
      <c r="C50" s="5"/>
      <c r="D50" s="5"/>
    </row>
    <row r="51" spans="1:7" x14ac:dyDescent="0.3">
      <c r="B51" s="5"/>
      <c r="C51" s="5"/>
      <c r="D51" s="5"/>
    </row>
    <row r="52" spans="1:7" x14ac:dyDescent="0.3">
      <c r="B52" s="5"/>
      <c r="C52" s="5"/>
      <c r="D52" s="5"/>
    </row>
    <row r="53" spans="1:7" x14ac:dyDescent="0.3">
      <c r="B53" s="5"/>
      <c r="C53" s="5"/>
      <c r="D53" s="5"/>
    </row>
    <row r="54" spans="1:7" x14ac:dyDescent="0.3">
      <c r="B54" s="5"/>
      <c r="C54" s="5"/>
      <c r="D54" s="5"/>
    </row>
    <row r="55" spans="1:7" x14ac:dyDescent="0.3">
      <c r="B55" s="5"/>
      <c r="C55" s="5"/>
      <c r="D55" s="5"/>
    </row>
    <row r="56" spans="1:7" x14ac:dyDescent="0.3">
      <c r="B56" s="5"/>
      <c r="C56" s="5"/>
      <c r="D56" s="5"/>
    </row>
    <row r="57" spans="1:7" x14ac:dyDescent="0.3">
      <c r="B57" s="5"/>
      <c r="C57" s="5"/>
      <c r="D57" s="5"/>
    </row>
    <row r="58" spans="1:7" x14ac:dyDescent="0.3">
      <c r="B58" s="5"/>
      <c r="C58" s="5"/>
      <c r="D58" s="5"/>
    </row>
    <row r="59" spans="1:7" x14ac:dyDescent="0.3">
      <c r="B59" s="5"/>
      <c r="C59" s="5"/>
      <c r="D59" s="5"/>
    </row>
    <row r="60" spans="1:7" x14ac:dyDescent="0.3">
      <c r="B60" s="5"/>
      <c r="C60" s="5"/>
      <c r="D60" s="5"/>
    </row>
    <row r="61" spans="1:7" x14ac:dyDescent="0.3">
      <c r="B61" s="5"/>
      <c r="C61" s="5"/>
      <c r="D61" s="5"/>
    </row>
    <row r="62" spans="1:7" x14ac:dyDescent="0.3">
      <c r="B62" s="5"/>
      <c r="C62" s="5"/>
      <c r="D62" s="5"/>
    </row>
    <row r="63" spans="1:7" x14ac:dyDescent="0.3">
      <c r="B63" s="5"/>
      <c r="C63" s="5"/>
      <c r="D63" s="5"/>
    </row>
    <row r="64" spans="1:7" x14ac:dyDescent="0.3">
      <c r="B64" s="5"/>
      <c r="C64" s="5"/>
      <c r="D64" s="5"/>
    </row>
    <row r="65" spans="2:4" x14ac:dyDescent="0.3">
      <c r="B65" s="5"/>
      <c r="C65" s="5"/>
      <c r="D65" s="5"/>
    </row>
    <row r="66" spans="2:4" x14ac:dyDescent="0.3">
      <c r="B66" s="5"/>
      <c r="C66" s="5"/>
      <c r="D66" s="5"/>
    </row>
    <row r="67" spans="2:4" x14ac:dyDescent="0.3">
      <c r="B67" s="5"/>
      <c r="C67" s="5"/>
      <c r="D67" s="5"/>
    </row>
    <row r="68" spans="2:4" x14ac:dyDescent="0.3">
      <c r="B68" s="5"/>
      <c r="C68" s="5"/>
      <c r="D68" s="5"/>
    </row>
    <row r="69" spans="2:4" x14ac:dyDescent="0.3">
      <c r="B69" s="5"/>
      <c r="C69" s="5"/>
      <c r="D69" s="5"/>
    </row>
    <row r="70" spans="2:4" x14ac:dyDescent="0.3">
      <c r="B70" s="5"/>
      <c r="C70" s="5"/>
      <c r="D70" s="5"/>
    </row>
    <row r="71" spans="2:4" x14ac:dyDescent="0.3">
      <c r="B71" s="5"/>
      <c r="C71" s="5"/>
      <c r="D71" s="5"/>
    </row>
    <row r="72" spans="2:4" x14ac:dyDescent="0.3">
      <c r="B72" s="5"/>
      <c r="C72" s="5"/>
      <c r="D72" s="5"/>
    </row>
    <row r="73" spans="2:4" x14ac:dyDescent="0.3">
      <c r="B73" s="5"/>
      <c r="C73" s="5"/>
      <c r="D73" s="5"/>
    </row>
    <row r="74" spans="2:4" x14ac:dyDescent="0.3">
      <c r="B74" s="5"/>
      <c r="C74" s="5"/>
      <c r="D74" s="5"/>
    </row>
    <row r="75" spans="2:4" x14ac:dyDescent="0.3">
      <c r="B75" s="5"/>
      <c r="C75" s="5"/>
      <c r="D75" s="5"/>
    </row>
    <row r="76" spans="2:4" x14ac:dyDescent="0.3">
      <c r="B76" s="5"/>
      <c r="C76" s="5"/>
      <c r="D76" s="5"/>
    </row>
    <row r="77" spans="2:4" x14ac:dyDescent="0.3">
      <c r="B77" s="5"/>
      <c r="C77" s="5"/>
      <c r="D77" s="5"/>
    </row>
    <row r="78" spans="2:4" x14ac:dyDescent="0.3">
      <c r="B78" s="5"/>
      <c r="C78" s="5"/>
      <c r="D78" s="5"/>
    </row>
    <row r="79" spans="2:4" x14ac:dyDescent="0.3">
      <c r="B79" s="5"/>
      <c r="C79" s="5"/>
      <c r="D79" s="5"/>
    </row>
    <row r="80" spans="2:4" x14ac:dyDescent="0.3">
      <c r="B80" s="5"/>
      <c r="C80" s="5"/>
      <c r="D80" s="5"/>
    </row>
    <row r="81" spans="2:4" x14ac:dyDescent="0.3">
      <c r="B81" s="5"/>
      <c r="C81" s="5"/>
      <c r="D81" s="5"/>
    </row>
    <row r="82" spans="2:4" x14ac:dyDescent="0.3">
      <c r="B82" s="5"/>
      <c r="C82" s="5"/>
      <c r="D82" s="5"/>
    </row>
    <row r="83" spans="2:4" x14ac:dyDescent="0.3">
      <c r="B83" s="5"/>
      <c r="C83" s="5"/>
      <c r="D83" s="5"/>
    </row>
    <row r="84" spans="2:4" x14ac:dyDescent="0.3">
      <c r="B84" s="5"/>
      <c r="C84" s="5"/>
      <c r="D84" s="5"/>
    </row>
    <row r="85" spans="2:4" x14ac:dyDescent="0.3">
      <c r="B85" s="5"/>
      <c r="C85" s="5"/>
      <c r="D85" s="5"/>
    </row>
    <row r="86" spans="2:4" x14ac:dyDescent="0.3">
      <c r="B86" s="5"/>
      <c r="C86" s="5"/>
      <c r="D86" s="5"/>
    </row>
    <row r="87" spans="2:4" x14ac:dyDescent="0.3">
      <c r="B87" s="5"/>
      <c r="C87" s="5"/>
      <c r="D87" s="5"/>
    </row>
    <row r="88" spans="2:4" x14ac:dyDescent="0.3">
      <c r="B88" s="5"/>
      <c r="C88" s="5"/>
      <c r="D88" s="5"/>
    </row>
    <row r="89" spans="2:4" x14ac:dyDescent="0.3">
      <c r="B89" s="5"/>
      <c r="C89" s="5"/>
      <c r="D89" s="5"/>
    </row>
    <row r="90" spans="2:4" x14ac:dyDescent="0.3">
      <c r="B90" s="5"/>
      <c r="C90" s="5"/>
      <c r="D90" s="5"/>
    </row>
    <row r="91" spans="2:4" x14ac:dyDescent="0.3">
      <c r="B91" s="5"/>
      <c r="C91" s="5"/>
      <c r="D91" s="5"/>
    </row>
    <row r="92" spans="2:4" x14ac:dyDescent="0.3">
      <c r="B92" s="5"/>
      <c r="C92" s="5"/>
      <c r="D92" s="5"/>
    </row>
    <row r="93" spans="2:4" x14ac:dyDescent="0.3">
      <c r="B93" s="5"/>
      <c r="C93" s="5"/>
      <c r="D93" s="5"/>
    </row>
    <row r="94" spans="2:4" x14ac:dyDescent="0.3">
      <c r="B94" s="5"/>
      <c r="C94" s="5"/>
      <c r="D94" s="5"/>
    </row>
    <row r="95" spans="2:4" x14ac:dyDescent="0.3">
      <c r="B95" s="5"/>
      <c r="C95" s="5"/>
      <c r="D95" s="5"/>
    </row>
    <row r="96" spans="2:4" x14ac:dyDescent="0.3">
      <c r="B96" s="5"/>
      <c r="C96" s="5"/>
      <c r="D96" s="5"/>
    </row>
    <row r="97" spans="2:4" x14ac:dyDescent="0.3">
      <c r="B97" s="5"/>
      <c r="C97" s="5"/>
      <c r="D97" s="5"/>
    </row>
    <row r="98" spans="2:4" x14ac:dyDescent="0.3">
      <c r="B98" s="5"/>
      <c r="C98" s="5"/>
      <c r="D98" s="5"/>
    </row>
    <row r="99" spans="2:4" x14ac:dyDescent="0.3">
      <c r="B99" s="5"/>
      <c r="C99" s="5"/>
      <c r="D99" s="5"/>
    </row>
    <row r="100" spans="2:4" x14ac:dyDescent="0.3">
      <c r="B100" s="5"/>
      <c r="C100" s="5"/>
      <c r="D100" s="5"/>
    </row>
    <row r="101" spans="2:4" x14ac:dyDescent="0.3">
      <c r="B101" s="5"/>
      <c r="C101" s="5"/>
      <c r="D101" s="5"/>
    </row>
    <row r="102" spans="2:4" x14ac:dyDescent="0.3">
      <c r="B102" s="5"/>
      <c r="C102" s="5"/>
      <c r="D102" s="5"/>
    </row>
    <row r="103" spans="2:4" x14ac:dyDescent="0.3">
      <c r="B103" s="5"/>
      <c r="C103" s="5"/>
      <c r="D103" s="5"/>
    </row>
    <row r="104" spans="2:4" x14ac:dyDescent="0.3">
      <c r="B104" s="5"/>
      <c r="C104" s="5"/>
      <c r="D104" s="5"/>
    </row>
    <row r="105" spans="2:4" x14ac:dyDescent="0.3">
      <c r="B105" s="5"/>
      <c r="C105" s="5"/>
      <c r="D105" s="5"/>
    </row>
    <row r="106" spans="2:4" x14ac:dyDescent="0.3">
      <c r="B106" s="5"/>
      <c r="C106" s="5"/>
      <c r="D106" s="5"/>
    </row>
    <row r="107" spans="2:4" x14ac:dyDescent="0.3">
      <c r="B107" s="5"/>
      <c r="C107" s="5"/>
      <c r="D107" s="5"/>
    </row>
    <row r="108" spans="2:4" x14ac:dyDescent="0.3">
      <c r="B108" s="5"/>
      <c r="C108" s="5"/>
      <c r="D108" s="5"/>
    </row>
    <row r="109" spans="2:4" x14ac:dyDescent="0.3">
      <c r="B109" s="5"/>
      <c r="C109" s="5"/>
      <c r="D109" s="5"/>
    </row>
    <row r="110" spans="2:4" x14ac:dyDescent="0.3">
      <c r="B110" s="5"/>
      <c r="C110" s="5"/>
      <c r="D110" s="5"/>
    </row>
    <row r="111" spans="2:4" x14ac:dyDescent="0.3">
      <c r="B111" s="5"/>
      <c r="C111" s="5"/>
      <c r="D111" s="5"/>
    </row>
    <row r="112" spans="2:4" x14ac:dyDescent="0.3">
      <c r="B112" s="5"/>
      <c r="C112" s="5"/>
      <c r="D112" s="5"/>
    </row>
    <row r="113" spans="2:4" x14ac:dyDescent="0.3">
      <c r="B113" s="5"/>
      <c r="C113" s="5"/>
      <c r="D113" s="5"/>
    </row>
    <row r="114" spans="2:4" x14ac:dyDescent="0.3">
      <c r="B114" s="5"/>
      <c r="C114" s="5"/>
      <c r="D114" s="5"/>
    </row>
    <row r="115" spans="2:4" x14ac:dyDescent="0.3">
      <c r="B115" s="5"/>
      <c r="C115" s="5"/>
      <c r="D115" s="5"/>
    </row>
    <row r="116" spans="2:4" x14ac:dyDescent="0.3">
      <c r="B116" s="5"/>
      <c r="C116" s="5"/>
      <c r="D116" s="5"/>
    </row>
    <row r="117" spans="2:4" x14ac:dyDescent="0.3">
      <c r="B117" s="5"/>
      <c r="C117" s="5"/>
      <c r="D117" s="5"/>
    </row>
    <row r="118" spans="2:4" x14ac:dyDescent="0.3">
      <c r="B118" s="5"/>
      <c r="C118" s="5"/>
      <c r="D118" s="5"/>
    </row>
    <row r="119" spans="2:4" x14ac:dyDescent="0.3">
      <c r="B119" s="5"/>
      <c r="C119" s="5"/>
      <c r="D119" s="5"/>
    </row>
    <row r="120" spans="2:4" x14ac:dyDescent="0.3">
      <c r="B120" s="5"/>
      <c r="C120" s="5"/>
      <c r="D120" s="5"/>
    </row>
    <row r="121" spans="2:4" x14ac:dyDescent="0.3">
      <c r="B121" s="5"/>
      <c r="C121" s="5"/>
      <c r="D121" s="5"/>
    </row>
    <row r="122" spans="2:4" x14ac:dyDescent="0.3">
      <c r="B122" s="5"/>
      <c r="C122" s="5"/>
      <c r="D122" s="5"/>
    </row>
    <row r="123" spans="2:4" x14ac:dyDescent="0.3">
      <c r="B123" s="5"/>
      <c r="C123" s="5"/>
      <c r="D123" s="5"/>
    </row>
    <row r="124" spans="2:4" x14ac:dyDescent="0.3">
      <c r="B124" s="5"/>
      <c r="C124" s="5"/>
      <c r="D124" s="5"/>
    </row>
    <row r="125" spans="2:4" x14ac:dyDescent="0.3">
      <c r="B125" s="5"/>
      <c r="C125" s="5"/>
      <c r="D125" s="5"/>
    </row>
    <row r="126" spans="2:4" x14ac:dyDescent="0.3">
      <c r="B126" s="5"/>
      <c r="C126" s="5"/>
      <c r="D126" s="5"/>
    </row>
    <row r="127" spans="2:4" x14ac:dyDescent="0.3">
      <c r="B127" s="5"/>
      <c r="C127" s="5"/>
      <c r="D127" s="5"/>
    </row>
    <row r="128" spans="2:4" x14ac:dyDescent="0.3">
      <c r="B128" s="5"/>
      <c r="C128" s="5"/>
      <c r="D128" s="5"/>
    </row>
    <row r="129" spans="2:4" x14ac:dyDescent="0.3">
      <c r="B129" s="5"/>
      <c r="C129" s="5"/>
      <c r="D129" s="5"/>
    </row>
    <row r="130" spans="2:4" x14ac:dyDescent="0.3">
      <c r="B130" s="5"/>
      <c r="C130" s="5"/>
      <c r="D130" s="5"/>
    </row>
    <row r="131" spans="2:4" x14ac:dyDescent="0.3">
      <c r="B131" s="5"/>
      <c r="C131" s="5"/>
      <c r="D131" s="5"/>
    </row>
    <row r="132" spans="2:4" x14ac:dyDescent="0.3">
      <c r="B132" s="5"/>
      <c r="C132" s="5"/>
      <c r="D132" s="5"/>
    </row>
    <row r="133" spans="2:4" x14ac:dyDescent="0.3">
      <c r="B133" s="5"/>
      <c r="C133" s="5"/>
      <c r="D133" s="5"/>
    </row>
    <row r="134" spans="2:4" x14ac:dyDescent="0.3">
      <c r="B134" s="5"/>
      <c r="C134" s="5"/>
      <c r="D134" s="5"/>
    </row>
    <row r="135" spans="2:4" x14ac:dyDescent="0.3">
      <c r="B135" s="5"/>
      <c r="C135" s="5"/>
      <c r="D135" s="5"/>
    </row>
    <row r="136" spans="2:4" x14ac:dyDescent="0.3">
      <c r="B136" s="5"/>
      <c r="C136" s="5"/>
      <c r="D136" s="5"/>
    </row>
    <row r="137" spans="2:4" x14ac:dyDescent="0.3">
      <c r="B137" s="5"/>
      <c r="C137" s="5"/>
      <c r="D137" s="5"/>
    </row>
    <row r="138" spans="2:4" x14ac:dyDescent="0.3">
      <c r="B138" s="5"/>
      <c r="C138" s="5"/>
      <c r="D138" s="5"/>
    </row>
    <row r="139" spans="2:4" x14ac:dyDescent="0.3">
      <c r="B139" s="5"/>
      <c r="C139" s="5"/>
      <c r="D139" s="5"/>
    </row>
    <row r="140" spans="2:4" x14ac:dyDescent="0.3">
      <c r="B140" s="5"/>
      <c r="C140" s="5"/>
      <c r="D140" s="5"/>
    </row>
    <row r="141" spans="2:4" x14ac:dyDescent="0.3">
      <c r="B141" s="5"/>
      <c r="C141" s="5"/>
      <c r="D141" s="5"/>
    </row>
    <row r="142" spans="2:4" x14ac:dyDescent="0.3">
      <c r="B142" s="5"/>
      <c r="C142" s="5"/>
      <c r="D142" s="5"/>
    </row>
    <row r="143" spans="2:4" x14ac:dyDescent="0.3">
      <c r="B143" s="5"/>
      <c r="C143" s="5"/>
      <c r="D143" s="5"/>
    </row>
    <row r="144" spans="2:4" x14ac:dyDescent="0.3">
      <c r="B144" s="5"/>
      <c r="C144" s="5"/>
      <c r="D144" s="5"/>
    </row>
    <row r="145" spans="2:4" x14ac:dyDescent="0.3">
      <c r="B145" s="5"/>
      <c r="C145" s="5"/>
      <c r="D145" s="5"/>
    </row>
    <row r="146" spans="2:4" x14ac:dyDescent="0.3">
      <c r="B146" s="5"/>
      <c r="C146" s="5"/>
      <c r="D146" s="5"/>
    </row>
    <row r="147" spans="2:4" x14ac:dyDescent="0.3">
      <c r="B147" s="5"/>
      <c r="C147" s="5"/>
      <c r="D147" s="5"/>
    </row>
    <row r="148" spans="2:4" x14ac:dyDescent="0.3">
      <c r="B148" s="5"/>
      <c r="C148" s="5"/>
      <c r="D148" s="5"/>
    </row>
    <row r="149" spans="2:4" x14ac:dyDescent="0.3">
      <c r="B149" s="5"/>
      <c r="C149" s="5"/>
      <c r="D149" s="5"/>
    </row>
    <row r="150" spans="2:4" x14ac:dyDescent="0.3">
      <c r="B150" s="5"/>
      <c r="C150" s="5"/>
      <c r="D150" s="5"/>
    </row>
    <row r="151" spans="2:4" x14ac:dyDescent="0.3">
      <c r="B151" s="5"/>
      <c r="C151" s="5"/>
      <c r="D151" s="5"/>
    </row>
    <row r="152" spans="2:4" x14ac:dyDescent="0.3">
      <c r="B152" s="5"/>
      <c r="C152" s="5"/>
      <c r="D152" s="5"/>
    </row>
    <row r="153" spans="2:4" x14ac:dyDescent="0.3">
      <c r="B153" s="5"/>
      <c r="C153" s="5"/>
      <c r="D153" s="5"/>
    </row>
    <row r="154" spans="2:4" x14ac:dyDescent="0.3">
      <c r="B154" s="5"/>
      <c r="C154" s="5"/>
      <c r="D154" s="5"/>
    </row>
    <row r="155" spans="2:4" x14ac:dyDescent="0.3">
      <c r="B155" s="5"/>
      <c r="C155" s="5"/>
      <c r="D155" s="5"/>
    </row>
    <row r="156" spans="2:4" x14ac:dyDescent="0.3">
      <c r="B156" s="5"/>
      <c r="C156" s="5"/>
      <c r="D156" s="5"/>
    </row>
    <row r="157" spans="2:4" x14ac:dyDescent="0.3">
      <c r="B157" s="5"/>
      <c r="C157" s="5"/>
      <c r="D157" s="5"/>
    </row>
    <row r="158" spans="2:4" x14ac:dyDescent="0.3">
      <c r="B158" s="5"/>
      <c r="C158" s="5"/>
      <c r="D158" s="5"/>
    </row>
    <row r="159" spans="2:4" x14ac:dyDescent="0.3">
      <c r="B159" s="5"/>
      <c r="C159" s="5"/>
      <c r="D159" s="5"/>
    </row>
    <row r="160" spans="2:4" x14ac:dyDescent="0.3">
      <c r="B160" s="5"/>
      <c r="C160" s="5"/>
      <c r="D160" s="5"/>
    </row>
    <row r="161" spans="2:4" x14ac:dyDescent="0.3">
      <c r="B161" s="5"/>
      <c r="C161" s="5"/>
      <c r="D161" s="5"/>
    </row>
    <row r="162" spans="2:4" x14ac:dyDescent="0.3">
      <c r="B162" s="5"/>
      <c r="C162" s="5"/>
      <c r="D162" s="5"/>
    </row>
    <row r="163" spans="2:4" x14ac:dyDescent="0.3">
      <c r="B163" s="5"/>
      <c r="C163" s="5"/>
      <c r="D163" s="5"/>
    </row>
    <row r="164" spans="2:4" x14ac:dyDescent="0.3">
      <c r="B164" s="5"/>
      <c r="C164" s="5"/>
      <c r="D164" s="5"/>
    </row>
    <row r="165" spans="2:4" x14ac:dyDescent="0.3">
      <c r="B165" s="5"/>
      <c r="C165" s="5"/>
      <c r="D165" s="5"/>
    </row>
    <row r="166" spans="2:4" x14ac:dyDescent="0.3">
      <c r="B166" s="5"/>
      <c r="C166" s="5"/>
      <c r="D166" s="5"/>
    </row>
    <row r="167" spans="2:4" x14ac:dyDescent="0.3">
      <c r="B167" s="5"/>
      <c r="C167" s="5"/>
      <c r="D167" s="5"/>
    </row>
    <row r="168" spans="2:4" x14ac:dyDescent="0.3">
      <c r="B168" s="5"/>
      <c r="C168" s="5"/>
      <c r="D168" s="5"/>
    </row>
    <row r="169" spans="2:4" x14ac:dyDescent="0.3">
      <c r="B169" s="5"/>
      <c r="C169" s="5"/>
      <c r="D169" s="5"/>
    </row>
    <row r="170" spans="2:4" x14ac:dyDescent="0.3">
      <c r="B170" s="5"/>
      <c r="C170" s="5"/>
      <c r="D170" s="5"/>
    </row>
    <row r="171" spans="2:4" x14ac:dyDescent="0.3">
      <c r="B171" s="5"/>
      <c r="C171" s="5"/>
      <c r="D171" s="5"/>
    </row>
    <row r="172" spans="2:4" x14ac:dyDescent="0.3">
      <c r="B172" s="5"/>
      <c r="C172" s="5"/>
      <c r="D172" s="5"/>
    </row>
    <row r="173" spans="2:4" x14ac:dyDescent="0.3">
      <c r="B173" s="5"/>
      <c r="C173" s="5"/>
      <c r="D173" s="5"/>
    </row>
    <row r="174" spans="2:4" x14ac:dyDescent="0.3">
      <c r="B174" s="5"/>
      <c r="C174" s="5"/>
      <c r="D174" s="5"/>
    </row>
    <row r="175" spans="2:4" x14ac:dyDescent="0.3">
      <c r="B175" s="5"/>
      <c r="C175" s="5"/>
      <c r="D175" s="5"/>
    </row>
    <row r="176" spans="2:4" x14ac:dyDescent="0.3">
      <c r="B176" s="5"/>
      <c r="C176" s="5"/>
      <c r="D176" s="5"/>
    </row>
    <row r="177" spans="2:4" x14ac:dyDescent="0.3">
      <c r="B177" s="5"/>
      <c r="C177" s="5"/>
      <c r="D177" s="5"/>
    </row>
    <row r="178" spans="2:4" x14ac:dyDescent="0.3">
      <c r="B178" s="5"/>
      <c r="C178" s="5"/>
      <c r="D178" s="5"/>
    </row>
    <row r="179" spans="2:4" x14ac:dyDescent="0.3">
      <c r="B179" s="5"/>
      <c r="C179" s="5"/>
      <c r="D179" s="5"/>
    </row>
    <row r="180" spans="2:4" x14ac:dyDescent="0.3">
      <c r="B180" s="5"/>
      <c r="C180" s="5"/>
      <c r="D180" s="5"/>
    </row>
    <row r="181" spans="2:4" x14ac:dyDescent="0.3">
      <c r="B181" s="5"/>
      <c r="C181" s="5"/>
      <c r="D181" s="5"/>
    </row>
    <row r="182" spans="2:4" x14ac:dyDescent="0.3">
      <c r="B182" s="5"/>
      <c r="C182" s="5"/>
      <c r="D182" s="5"/>
    </row>
    <row r="183" spans="2:4" x14ac:dyDescent="0.3">
      <c r="B183" s="5"/>
      <c r="C183" s="5"/>
      <c r="D183" s="5"/>
    </row>
    <row r="184" spans="2:4" x14ac:dyDescent="0.3">
      <c r="B184" s="5"/>
      <c r="C184" s="5"/>
      <c r="D184" s="5"/>
    </row>
    <row r="185" spans="2:4" x14ac:dyDescent="0.3">
      <c r="B185" s="5"/>
      <c r="C185" s="5"/>
      <c r="D185" s="5"/>
    </row>
    <row r="186" spans="2:4" x14ac:dyDescent="0.3">
      <c r="B186" s="5"/>
      <c r="C186" s="5"/>
      <c r="D186" s="5"/>
    </row>
    <row r="187" spans="2:4" x14ac:dyDescent="0.3">
      <c r="B187" s="5"/>
      <c r="C187" s="5"/>
      <c r="D187" s="5"/>
    </row>
    <row r="188" spans="2:4" x14ac:dyDescent="0.3">
      <c r="B188" s="5"/>
      <c r="C188" s="5"/>
      <c r="D188" s="5"/>
    </row>
    <row r="189" spans="2:4" x14ac:dyDescent="0.3">
      <c r="B189" s="5"/>
      <c r="C189" s="5"/>
      <c r="D189" s="5"/>
    </row>
    <row r="190" spans="2:4" x14ac:dyDescent="0.3">
      <c r="B190" s="5"/>
      <c r="C190" s="5"/>
      <c r="D190" s="5"/>
    </row>
    <row r="191" spans="2:4" x14ac:dyDescent="0.3">
      <c r="B191" s="5"/>
      <c r="C191" s="5"/>
      <c r="D191" s="5"/>
    </row>
    <row r="192" spans="2:4" x14ac:dyDescent="0.3">
      <c r="B192" s="5"/>
      <c r="C192" s="5"/>
      <c r="D192" s="5"/>
    </row>
    <row r="193" spans="2:4" x14ac:dyDescent="0.3">
      <c r="B193" s="5"/>
      <c r="C193" s="5"/>
      <c r="D193" s="5"/>
    </row>
    <row r="194" spans="2:4" x14ac:dyDescent="0.3">
      <c r="B194" s="5"/>
      <c r="C194" s="5"/>
      <c r="D194" s="5"/>
    </row>
    <row r="195" spans="2:4" x14ac:dyDescent="0.3">
      <c r="B195" s="5"/>
      <c r="C195" s="5"/>
      <c r="D195" s="5"/>
    </row>
    <row r="196" spans="2:4" x14ac:dyDescent="0.3">
      <c r="B196" s="5"/>
      <c r="C196" s="5"/>
      <c r="D196" s="5"/>
    </row>
    <row r="197" spans="2:4" x14ac:dyDescent="0.3">
      <c r="B197" s="5"/>
      <c r="C197" s="5"/>
      <c r="D197" s="5"/>
    </row>
    <row r="198" spans="2:4" x14ac:dyDescent="0.3">
      <c r="B198" s="5"/>
      <c r="C198" s="5"/>
      <c r="D198" s="5"/>
    </row>
    <row r="199" spans="2:4" x14ac:dyDescent="0.3">
      <c r="B199" s="5"/>
      <c r="C199" s="5"/>
      <c r="D199" s="5"/>
    </row>
    <row r="200" spans="2:4" x14ac:dyDescent="0.3">
      <c r="B200" s="5"/>
      <c r="C200" s="5"/>
      <c r="D200" s="5"/>
    </row>
    <row r="201" spans="2:4" x14ac:dyDescent="0.3">
      <c r="B201" s="5"/>
      <c r="C201" s="5"/>
      <c r="D201" s="5"/>
    </row>
    <row r="202" spans="2:4" x14ac:dyDescent="0.3">
      <c r="B202" s="5"/>
      <c r="C202" s="5"/>
      <c r="D202" s="5"/>
    </row>
    <row r="203" spans="2:4" x14ac:dyDescent="0.3">
      <c r="B203" s="5"/>
      <c r="C203" s="5"/>
      <c r="D203" s="5"/>
    </row>
    <row r="204" spans="2:4" x14ac:dyDescent="0.3">
      <c r="B204" s="5"/>
      <c r="C204" s="5"/>
      <c r="D204" s="5"/>
    </row>
    <row r="205" spans="2:4" x14ac:dyDescent="0.3">
      <c r="B205" s="5"/>
      <c r="C205" s="5"/>
      <c r="D205" s="5"/>
    </row>
    <row r="206" spans="2:4" x14ac:dyDescent="0.3">
      <c r="B206" s="5"/>
      <c r="C206" s="5"/>
      <c r="D206" s="5"/>
    </row>
    <row r="207" spans="2:4" x14ac:dyDescent="0.3">
      <c r="B207" s="5"/>
      <c r="C207" s="5"/>
      <c r="D207" s="5"/>
    </row>
  </sheetData>
  <autoFilter ref="A7:G49">
    <filterColumn colId="0" showButton="0"/>
    <filterColumn colId="1" showButton="0"/>
    <filterColumn colId="2" showButton="0"/>
    <filterColumn colId="3" showButton="0"/>
    <filterColumn colId="4" showButton="0"/>
  </autoFilter>
  <mergeCells count="20">
    <mergeCell ref="A1:G6"/>
    <mergeCell ref="A49:E49"/>
    <mergeCell ref="A48:E48"/>
    <mergeCell ref="A22:F22"/>
    <mergeCell ref="A10:F10"/>
    <mergeCell ref="A13:E13"/>
    <mergeCell ref="A14:F14"/>
    <mergeCell ref="A30:E30"/>
    <mergeCell ref="A31:F31"/>
    <mergeCell ref="A41:E41"/>
    <mergeCell ref="A42:F42"/>
    <mergeCell ref="G7:G9"/>
    <mergeCell ref="A7:F7"/>
    <mergeCell ref="A21:E21"/>
    <mergeCell ref="F8:F9"/>
    <mergeCell ref="A8:A9"/>
    <mergeCell ref="C8:C9"/>
    <mergeCell ref="E8:E9"/>
    <mergeCell ref="B8:B9"/>
    <mergeCell ref="D8:D9"/>
  </mergeCells>
  <pageMargins left="0.7" right="0.7" top="0.75" bottom="0.75"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topLeftCell="A82" workbookViewId="0">
      <selection activeCell="G5" sqref="G5"/>
    </sheetView>
  </sheetViews>
  <sheetFormatPr defaultColWidth="12.6640625" defaultRowHeight="15" customHeight="1" x14ac:dyDescent="0.35"/>
  <cols>
    <col min="1" max="1" width="4.9140625" style="23" customWidth="1"/>
    <col min="2" max="2" width="41" style="58" customWidth="1"/>
    <col min="3" max="3" width="19" style="23" customWidth="1"/>
    <col min="4" max="4" width="19.25" style="57" customWidth="1"/>
    <col min="5" max="5" width="11" style="23" customWidth="1"/>
    <col min="6" max="16384" width="12.6640625" style="23"/>
  </cols>
  <sheetData>
    <row r="1" spans="1:5" ht="13.5" x14ac:dyDescent="0.35">
      <c r="A1" s="102" t="s">
        <v>97</v>
      </c>
      <c r="B1" s="102"/>
      <c r="C1" s="102"/>
      <c r="D1" s="102"/>
    </row>
    <row r="2" spans="1:5" ht="13" customHeight="1" x14ac:dyDescent="0.35">
      <c r="A2" s="103" t="s">
        <v>15</v>
      </c>
      <c r="B2" s="103" t="s">
        <v>0</v>
      </c>
      <c r="C2" s="103" t="s">
        <v>1</v>
      </c>
      <c r="D2" s="103" t="s">
        <v>13</v>
      </c>
    </row>
    <row r="3" spans="1:5" ht="13.5" x14ac:dyDescent="0.35">
      <c r="A3" s="104"/>
      <c r="B3" s="105"/>
      <c r="C3" s="104"/>
      <c r="D3" s="103"/>
    </row>
    <row r="4" spans="1:5" ht="13.5" x14ac:dyDescent="0.35">
      <c r="A4" s="108" t="s">
        <v>17</v>
      </c>
      <c r="B4" s="109"/>
      <c r="C4" s="109"/>
      <c r="D4" s="110"/>
    </row>
    <row r="5" spans="1:5" ht="27" x14ac:dyDescent="0.35">
      <c r="A5" s="24">
        <v>1</v>
      </c>
      <c r="B5" s="25" t="s">
        <v>3</v>
      </c>
      <c r="C5" s="25">
        <v>104255</v>
      </c>
      <c r="D5" s="26">
        <v>8082044.0499999998</v>
      </c>
      <c r="E5" s="27" t="s">
        <v>4</v>
      </c>
    </row>
    <row r="6" spans="1:5" ht="40.5" x14ac:dyDescent="0.35">
      <c r="A6" s="24">
        <v>2</v>
      </c>
      <c r="B6" s="25" t="s">
        <v>11</v>
      </c>
      <c r="C6" s="25">
        <v>125051</v>
      </c>
      <c r="D6" s="26">
        <v>6874227.9100000001</v>
      </c>
    </row>
    <row r="7" spans="1:5" ht="27" x14ac:dyDescent="0.35">
      <c r="A7" s="24">
        <v>3</v>
      </c>
      <c r="B7" s="25" t="s">
        <v>5</v>
      </c>
      <c r="C7" s="25">
        <v>105482</v>
      </c>
      <c r="D7" s="26">
        <v>11704541.41</v>
      </c>
    </row>
    <row r="8" spans="1:5" ht="13.5" x14ac:dyDescent="0.35">
      <c r="A8" s="24">
        <v>4</v>
      </c>
      <c r="B8" s="25" t="s">
        <v>2</v>
      </c>
      <c r="C8" s="25">
        <v>103886</v>
      </c>
      <c r="D8" s="26">
        <v>8383918.3300000001</v>
      </c>
    </row>
    <row r="9" spans="1:5" ht="13.5" x14ac:dyDescent="0.35">
      <c r="A9" s="24">
        <v>5</v>
      </c>
      <c r="B9" s="25" t="s">
        <v>6</v>
      </c>
      <c r="C9" s="25">
        <v>106050</v>
      </c>
      <c r="D9" s="26">
        <v>7943060.5099999998</v>
      </c>
    </row>
    <row r="10" spans="1:5" ht="27" x14ac:dyDescent="0.35">
      <c r="A10" s="24">
        <v>6</v>
      </c>
      <c r="B10" s="25" t="s">
        <v>7</v>
      </c>
      <c r="C10" s="25">
        <v>105759</v>
      </c>
      <c r="D10" s="26">
        <v>8137354.7599999998</v>
      </c>
    </row>
    <row r="11" spans="1:5" ht="27" x14ac:dyDescent="0.35">
      <c r="A11" s="24">
        <v>7</v>
      </c>
      <c r="B11" s="25" t="s">
        <v>8</v>
      </c>
      <c r="C11" s="25">
        <v>107274</v>
      </c>
      <c r="D11" s="26">
        <v>1832623.53</v>
      </c>
    </row>
    <row r="12" spans="1:5" ht="27" x14ac:dyDescent="0.35">
      <c r="A12" s="24">
        <v>8</v>
      </c>
      <c r="B12" s="28" t="s">
        <v>9</v>
      </c>
      <c r="C12" s="25">
        <v>121030</v>
      </c>
      <c r="D12" s="26">
        <v>4089554.39</v>
      </c>
    </row>
    <row r="13" spans="1:5" ht="67.5" x14ac:dyDescent="0.35">
      <c r="A13" s="24">
        <v>9</v>
      </c>
      <c r="B13" s="25" t="s">
        <v>10</v>
      </c>
      <c r="C13" s="25">
        <v>123343</v>
      </c>
      <c r="D13" s="26">
        <v>3345132.47</v>
      </c>
    </row>
    <row r="14" spans="1:5" ht="27" x14ac:dyDescent="0.35">
      <c r="A14" s="24">
        <v>10</v>
      </c>
      <c r="B14" s="25" t="s">
        <v>20</v>
      </c>
      <c r="C14" s="25">
        <v>121221</v>
      </c>
      <c r="D14" s="26">
        <v>1461316.61</v>
      </c>
    </row>
    <row r="15" spans="1:5" ht="40.5" x14ac:dyDescent="0.35">
      <c r="A15" s="24">
        <v>11</v>
      </c>
      <c r="B15" s="25" t="s">
        <v>21</v>
      </c>
      <c r="C15" s="25">
        <v>124874</v>
      </c>
      <c r="D15" s="26">
        <v>4153779.59</v>
      </c>
    </row>
    <row r="16" spans="1:5" ht="13.5" x14ac:dyDescent="0.35">
      <c r="A16" s="111" t="s">
        <v>22</v>
      </c>
      <c r="B16" s="112"/>
      <c r="C16" s="112"/>
      <c r="D16" s="29">
        <f>SUM(D5:D15)</f>
        <v>66007553.560000002</v>
      </c>
    </row>
    <row r="17" spans="1:6" ht="13.5" x14ac:dyDescent="0.35">
      <c r="A17" s="113" t="s">
        <v>23</v>
      </c>
      <c r="B17" s="114"/>
      <c r="C17" s="114"/>
      <c r="D17" s="115"/>
    </row>
    <row r="18" spans="1:6" ht="40.5" x14ac:dyDescent="0.35">
      <c r="A18" s="24">
        <v>1</v>
      </c>
      <c r="B18" s="25" t="s">
        <v>24</v>
      </c>
      <c r="C18" s="25">
        <v>122196</v>
      </c>
      <c r="D18" s="26">
        <v>19006358.789999999</v>
      </c>
    </row>
    <row r="19" spans="1:6" ht="40.5" x14ac:dyDescent="0.35">
      <c r="A19" s="24">
        <v>2</v>
      </c>
      <c r="B19" s="25" t="s">
        <v>25</v>
      </c>
      <c r="C19" s="25">
        <v>119831</v>
      </c>
      <c r="D19" s="26">
        <v>11122917.08</v>
      </c>
    </row>
    <row r="20" spans="1:6" ht="27" x14ac:dyDescent="0.35">
      <c r="A20" s="24">
        <v>3</v>
      </c>
      <c r="B20" s="25" t="s">
        <v>26</v>
      </c>
      <c r="C20" s="25">
        <v>119832</v>
      </c>
      <c r="D20" s="26">
        <v>6748978.1100000003</v>
      </c>
    </row>
    <row r="21" spans="1:6" ht="13.5" x14ac:dyDescent="0.35">
      <c r="A21" s="113" t="s">
        <v>27</v>
      </c>
      <c r="B21" s="114"/>
      <c r="C21" s="114"/>
      <c r="D21" s="30">
        <f>SUM(D18:D20)</f>
        <v>36878253.979999997</v>
      </c>
    </row>
    <row r="22" spans="1:6" ht="13.5" x14ac:dyDescent="0.35">
      <c r="A22" s="116" t="s">
        <v>29</v>
      </c>
      <c r="B22" s="117"/>
      <c r="C22" s="117"/>
      <c r="D22" s="118"/>
    </row>
    <row r="23" spans="1:6" ht="37.5" customHeight="1" x14ac:dyDescent="0.35">
      <c r="A23" s="24">
        <v>1</v>
      </c>
      <c r="B23" s="25" t="s">
        <v>12</v>
      </c>
      <c r="C23" s="25">
        <v>215</v>
      </c>
      <c r="D23" s="26">
        <f>E23*4.76</f>
        <v>848090.62799999991</v>
      </c>
      <c r="E23" s="31">
        <v>178170.3</v>
      </c>
      <c r="F23" s="32"/>
    </row>
    <row r="24" spans="1:6" ht="54" x14ac:dyDescent="0.35">
      <c r="A24" s="24">
        <v>2</v>
      </c>
      <c r="B24" s="25" t="s">
        <v>28</v>
      </c>
      <c r="C24" s="25">
        <v>337</v>
      </c>
      <c r="D24" s="26">
        <f>E24*4.78</f>
        <v>2601247.3200000003</v>
      </c>
      <c r="E24" s="33">
        <v>544194</v>
      </c>
      <c r="F24" s="34" t="s">
        <v>48</v>
      </c>
    </row>
    <row r="25" spans="1:6" ht="13.5" x14ac:dyDescent="0.35">
      <c r="A25" s="116" t="s">
        <v>30</v>
      </c>
      <c r="B25" s="117"/>
      <c r="C25" s="117"/>
      <c r="D25" s="35">
        <f>SUM(D23:D24)</f>
        <v>3449337.9480000003</v>
      </c>
    </row>
    <row r="26" spans="1:6" ht="13.5" x14ac:dyDescent="0.35">
      <c r="A26" s="119" t="s">
        <v>31</v>
      </c>
      <c r="B26" s="120"/>
      <c r="C26" s="120"/>
      <c r="D26" s="121"/>
    </row>
    <row r="27" spans="1:6" ht="40.5" x14ac:dyDescent="0.35">
      <c r="A27" s="24">
        <v>1</v>
      </c>
      <c r="B27" s="25" t="s">
        <v>32</v>
      </c>
      <c r="C27" s="25" t="s">
        <v>49</v>
      </c>
      <c r="D27" s="26">
        <v>351100</v>
      </c>
    </row>
    <row r="28" spans="1:6" ht="40.5" x14ac:dyDescent="0.35">
      <c r="A28" s="24">
        <v>2</v>
      </c>
      <c r="B28" s="25" t="s">
        <v>33</v>
      </c>
      <c r="C28" s="25" t="s">
        <v>50</v>
      </c>
      <c r="D28" s="26">
        <v>187400</v>
      </c>
    </row>
    <row r="29" spans="1:6" ht="40.5" x14ac:dyDescent="0.35">
      <c r="A29" s="24">
        <v>3</v>
      </c>
      <c r="B29" s="25" t="s">
        <v>34</v>
      </c>
      <c r="C29" s="25" t="s">
        <v>51</v>
      </c>
      <c r="D29" s="26">
        <v>187434.46</v>
      </c>
    </row>
    <row r="30" spans="1:6" ht="27" x14ac:dyDescent="0.35">
      <c r="A30" s="24">
        <v>4</v>
      </c>
      <c r="B30" s="25" t="s">
        <v>35</v>
      </c>
      <c r="C30" s="25" t="s">
        <v>52</v>
      </c>
      <c r="D30" s="26">
        <v>699800</v>
      </c>
    </row>
    <row r="31" spans="1:6" ht="54" x14ac:dyDescent="0.35">
      <c r="A31" s="24">
        <v>5</v>
      </c>
      <c r="B31" s="25" t="s">
        <v>36</v>
      </c>
      <c r="C31" s="25" t="s">
        <v>53</v>
      </c>
      <c r="D31" s="26">
        <v>351188</v>
      </c>
    </row>
    <row r="32" spans="1:6" s="39" customFormat="1" ht="27" x14ac:dyDescent="0.35">
      <c r="A32" s="36">
        <v>6</v>
      </c>
      <c r="B32" s="37" t="s">
        <v>37</v>
      </c>
      <c r="C32" s="37" t="s">
        <v>55</v>
      </c>
      <c r="D32" s="38">
        <v>187514</v>
      </c>
    </row>
    <row r="33" spans="1:4" ht="27" x14ac:dyDescent="0.35">
      <c r="A33" s="24">
        <v>7</v>
      </c>
      <c r="B33" s="25" t="s">
        <v>38</v>
      </c>
      <c r="C33" s="25" t="s">
        <v>54</v>
      </c>
      <c r="D33" s="26">
        <v>187400</v>
      </c>
    </row>
    <row r="34" spans="1:4" ht="27" x14ac:dyDescent="0.35">
      <c r="A34" s="24">
        <v>8</v>
      </c>
      <c r="B34" s="25" t="s">
        <v>56</v>
      </c>
      <c r="C34" s="25" t="s">
        <v>57</v>
      </c>
      <c r="D34" s="26">
        <v>1419630</v>
      </c>
    </row>
    <row r="35" spans="1:4" ht="13.5" x14ac:dyDescent="0.35">
      <c r="A35" s="119" t="s">
        <v>40</v>
      </c>
      <c r="B35" s="120"/>
      <c r="C35" s="120"/>
      <c r="D35" s="40">
        <f>SUM(D27:D34)</f>
        <v>3571466.46</v>
      </c>
    </row>
    <row r="36" spans="1:4" ht="13.5" x14ac:dyDescent="0.35">
      <c r="A36" s="122" t="s">
        <v>44</v>
      </c>
      <c r="B36" s="123"/>
      <c r="C36" s="123"/>
      <c r="D36" s="124"/>
    </row>
    <row r="37" spans="1:4" ht="40.5" x14ac:dyDescent="0.35">
      <c r="A37" s="24">
        <v>1</v>
      </c>
      <c r="B37" s="25" t="s">
        <v>41</v>
      </c>
      <c r="C37" s="25">
        <v>111830</v>
      </c>
      <c r="D37" s="26">
        <v>554208.57999999996</v>
      </c>
    </row>
    <row r="38" spans="1:4" ht="27" x14ac:dyDescent="0.35">
      <c r="A38" s="41">
        <v>2</v>
      </c>
      <c r="B38" s="25" t="s">
        <v>46</v>
      </c>
      <c r="C38" s="25">
        <v>112332</v>
      </c>
      <c r="D38" s="26">
        <v>283452</v>
      </c>
    </row>
    <row r="39" spans="1:4" ht="13.5" x14ac:dyDescent="0.35">
      <c r="A39" s="125" t="s">
        <v>45</v>
      </c>
      <c r="B39" s="126"/>
      <c r="C39" s="126"/>
      <c r="D39" s="42">
        <f>SUM(D37:D38)</f>
        <v>837660.58</v>
      </c>
    </row>
    <row r="40" spans="1:4" ht="13.5" x14ac:dyDescent="0.35">
      <c r="A40" s="106" t="s">
        <v>58</v>
      </c>
      <c r="B40" s="107"/>
      <c r="C40" s="107"/>
      <c r="D40" s="127"/>
    </row>
    <row r="41" spans="1:4" ht="40.5" x14ac:dyDescent="0.35">
      <c r="A41" s="43">
        <v>1</v>
      </c>
      <c r="B41" s="44" t="s">
        <v>59</v>
      </c>
      <c r="C41" s="45" t="s">
        <v>64</v>
      </c>
      <c r="D41" s="46">
        <v>380000</v>
      </c>
    </row>
    <row r="42" spans="1:4" ht="27" x14ac:dyDescent="0.35">
      <c r="A42" s="43">
        <v>2</v>
      </c>
      <c r="B42" s="44" t="s">
        <v>60</v>
      </c>
      <c r="C42" s="45" t="s">
        <v>65</v>
      </c>
      <c r="D42" s="46" t="s">
        <v>73</v>
      </c>
    </row>
    <row r="43" spans="1:4" ht="54" x14ac:dyDescent="0.35">
      <c r="A43" s="43">
        <v>3</v>
      </c>
      <c r="B43" s="44" t="s">
        <v>61</v>
      </c>
      <c r="C43" s="45" t="s">
        <v>66</v>
      </c>
      <c r="D43" s="46">
        <v>422000</v>
      </c>
    </row>
    <row r="44" spans="1:4" ht="27" x14ac:dyDescent="0.35">
      <c r="A44" s="43">
        <v>4</v>
      </c>
      <c r="B44" s="44" t="s">
        <v>62</v>
      </c>
      <c r="C44" s="45" t="s">
        <v>67</v>
      </c>
      <c r="D44" s="46">
        <v>399560</v>
      </c>
    </row>
    <row r="45" spans="1:4" ht="27" x14ac:dyDescent="0.35">
      <c r="A45" s="43">
        <v>5</v>
      </c>
      <c r="B45" s="44" t="s">
        <v>63</v>
      </c>
      <c r="C45" s="45" t="s">
        <v>68</v>
      </c>
      <c r="D45" s="46">
        <v>144186.14000000001</v>
      </c>
    </row>
    <row r="46" spans="1:4" ht="40.5" x14ac:dyDescent="0.35">
      <c r="A46" s="43">
        <v>6</v>
      </c>
      <c r="B46" s="44" t="str">
        <f>[1]Sheet1!$B$37</f>
        <v>Cercetare de excelență in UVT prin dezvoltarea resursei umane și consolidarea centrelor de cercetare</v>
      </c>
      <c r="C46" s="45" t="s">
        <v>74</v>
      </c>
      <c r="D46" s="46">
        <v>387000</v>
      </c>
    </row>
    <row r="47" spans="1:4" ht="13.5" x14ac:dyDescent="0.35">
      <c r="A47" s="106" t="s">
        <v>76</v>
      </c>
      <c r="B47" s="107"/>
      <c r="C47" s="107"/>
      <c r="D47" s="47">
        <f>SUM(D41:D46)</f>
        <v>1732746.1400000001</v>
      </c>
    </row>
    <row r="48" spans="1:4" ht="13.5" x14ac:dyDescent="0.35">
      <c r="A48" s="129" t="s">
        <v>83</v>
      </c>
      <c r="B48" s="130"/>
      <c r="C48" s="130"/>
      <c r="D48" s="131"/>
    </row>
    <row r="49" spans="1:4" ht="27" x14ac:dyDescent="0.35">
      <c r="A49" s="43">
        <v>1</v>
      </c>
      <c r="B49" s="44" t="s">
        <v>77</v>
      </c>
      <c r="C49" s="45" t="s">
        <v>87</v>
      </c>
      <c r="D49" s="46">
        <v>195000</v>
      </c>
    </row>
    <row r="50" spans="1:4" ht="13.5" x14ac:dyDescent="0.35">
      <c r="A50" s="43">
        <v>2</v>
      </c>
      <c r="B50" s="44" t="s">
        <v>78</v>
      </c>
      <c r="C50" s="45" t="s">
        <v>88</v>
      </c>
      <c r="D50" s="46">
        <v>152800</v>
      </c>
    </row>
    <row r="51" spans="1:4" ht="13.5" x14ac:dyDescent="0.35">
      <c r="A51" s="43">
        <v>3</v>
      </c>
      <c r="B51" s="44" t="s">
        <v>79</v>
      </c>
      <c r="C51" s="45" t="s">
        <v>89</v>
      </c>
      <c r="D51" s="46">
        <v>103000</v>
      </c>
    </row>
    <row r="52" spans="1:4" ht="13.5" x14ac:dyDescent="0.35">
      <c r="A52" s="43">
        <v>4</v>
      </c>
      <c r="B52" s="44" t="s">
        <v>80</v>
      </c>
      <c r="C52" s="45" t="s">
        <v>90</v>
      </c>
      <c r="D52" s="46">
        <v>184000</v>
      </c>
    </row>
    <row r="53" spans="1:4" ht="202.5" x14ac:dyDescent="0.35">
      <c r="A53" s="43">
        <v>5</v>
      </c>
      <c r="B53" s="44" t="s">
        <v>81</v>
      </c>
      <c r="C53" s="45" t="s">
        <v>91</v>
      </c>
      <c r="D53" s="46">
        <v>174358</v>
      </c>
    </row>
    <row r="54" spans="1:4" ht="13.5" x14ac:dyDescent="0.35">
      <c r="A54" s="43">
        <v>6</v>
      </c>
      <c r="B54" s="44" t="s">
        <v>82</v>
      </c>
      <c r="C54" s="45" t="s">
        <v>95</v>
      </c>
      <c r="D54" s="46">
        <v>236750</v>
      </c>
    </row>
    <row r="55" spans="1:4" ht="27" x14ac:dyDescent="0.35">
      <c r="A55" s="43">
        <v>7</v>
      </c>
      <c r="B55" s="44" t="s">
        <v>92</v>
      </c>
      <c r="C55" s="48" t="s">
        <v>96</v>
      </c>
      <c r="D55" s="46">
        <v>558100</v>
      </c>
    </row>
    <row r="56" spans="1:4" ht="13.5" x14ac:dyDescent="0.35">
      <c r="A56" s="132" t="s">
        <v>117</v>
      </c>
      <c r="B56" s="133"/>
      <c r="C56" s="133"/>
      <c r="D56" s="49">
        <f>SUM(D49:D55)</f>
        <v>1604008</v>
      </c>
    </row>
    <row r="57" spans="1:4" ht="13.5" x14ac:dyDescent="0.35">
      <c r="A57" s="134" t="s">
        <v>98</v>
      </c>
      <c r="B57" s="135"/>
      <c r="C57" s="135"/>
      <c r="D57" s="136"/>
    </row>
    <row r="58" spans="1:4" ht="27" x14ac:dyDescent="0.35">
      <c r="A58" s="43">
        <v>1</v>
      </c>
      <c r="B58" s="44" t="s">
        <v>99</v>
      </c>
      <c r="C58" s="50" t="s">
        <v>115</v>
      </c>
      <c r="D58" s="46">
        <v>20105</v>
      </c>
    </row>
    <row r="59" spans="1:4" ht="27" x14ac:dyDescent="0.35">
      <c r="A59" s="43">
        <v>2</v>
      </c>
      <c r="B59" s="44" t="s">
        <v>100</v>
      </c>
      <c r="C59" s="44" t="s">
        <v>115</v>
      </c>
      <c r="D59" s="46">
        <v>46000</v>
      </c>
    </row>
    <row r="60" spans="1:4" ht="27" x14ac:dyDescent="0.35">
      <c r="A60" s="43">
        <v>3</v>
      </c>
      <c r="B60" s="44" t="s">
        <v>101</v>
      </c>
      <c r="C60" s="44" t="s">
        <v>115</v>
      </c>
      <c r="D60" s="46">
        <v>29000</v>
      </c>
    </row>
    <row r="61" spans="1:4" ht="27" x14ac:dyDescent="0.35">
      <c r="A61" s="43">
        <v>4</v>
      </c>
      <c r="B61" s="44" t="s">
        <v>102</v>
      </c>
      <c r="C61" s="44" t="s">
        <v>115</v>
      </c>
      <c r="D61" s="46">
        <v>10175</v>
      </c>
    </row>
    <row r="62" spans="1:4" ht="27" x14ac:dyDescent="0.35">
      <c r="A62" s="43">
        <v>5</v>
      </c>
      <c r="B62" s="44" t="s">
        <v>103</v>
      </c>
      <c r="C62" s="44" t="s">
        <v>115</v>
      </c>
      <c r="D62" s="46">
        <v>13550</v>
      </c>
    </row>
    <row r="63" spans="1:4" ht="27" x14ac:dyDescent="0.35">
      <c r="A63" s="43">
        <v>6</v>
      </c>
      <c r="B63" s="44" t="s">
        <v>104</v>
      </c>
      <c r="C63" s="44" t="s">
        <v>115</v>
      </c>
      <c r="D63" s="46">
        <v>29900</v>
      </c>
    </row>
    <row r="64" spans="1:4" ht="27" x14ac:dyDescent="0.35">
      <c r="A64" s="43">
        <v>7</v>
      </c>
      <c r="B64" s="44" t="s">
        <v>105</v>
      </c>
      <c r="C64" s="44" t="s">
        <v>115</v>
      </c>
      <c r="D64" s="46">
        <v>11000</v>
      </c>
    </row>
    <row r="65" spans="1:4" ht="27" x14ac:dyDescent="0.35">
      <c r="A65" s="43">
        <v>8</v>
      </c>
      <c r="B65" s="44" t="s">
        <v>106</v>
      </c>
      <c r="C65" s="44" t="s">
        <v>115</v>
      </c>
      <c r="D65" s="46">
        <v>10900</v>
      </c>
    </row>
    <row r="66" spans="1:4" ht="27" x14ac:dyDescent="0.35">
      <c r="A66" s="43">
        <v>9</v>
      </c>
      <c r="B66" s="44" t="s">
        <v>107</v>
      </c>
      <c r="C66" s="44" t="s">
        <v>115</v>
      </c>
      <c r="D66" s="46">
        <v>22400</v>
      </c>
    </row>
    <row r="67" spans="1:4" ht="27" x14ac:dyDescent="0.35">
      <c r="A67" s="43">
        <v>10</v>
      </c>
      <c r="B67" s="44" t="s">
        <v>108</v>
      </c>
      <c r="C67" s="44" t="s">
        <v>115</v>
      </c>
      <c r="D67" s="46">
        <v>13420</v>
      </c>
    </row>
    <row r="68" spans="1:4" ht="40.5" x14ac:dyDescent="0.35">
      <c r="A68" s="43">
        <v>11</v>
      </c>
      <c r="B68" s="44" t="s">
        <v>109</v>
      </c>
      <c r="C68" s="44" t="s">
        <v>115</v>
      </c>
      <c r="D68" s="46">
        <v>11925</v>
      </c>
    </row>
    <row r="69" spans="1:4" ht="54" x14ac:dyDescent="0.35">
      <c r="A69" s="43">
        <v>12</v>
      </c>
      <c r="B69" s="44" t="s">
        <v>110</v>
      </c>
      <c r="C69" s="44" t="s">
        <v>115</v>
      </c>
      <c r="D69" s="46">
        <v>19320</v>
      </c>
    </row>
    <row r="70" spans="1:4" ht="27" x14ac:dyDescent="0.35">
      <c r="A70" s="43">
        <v>13</v>
      </c>
      <c r="B70" s="44" t="s">
        <v>111</v>
      </c>
      <c r="C70" s="44" t="s">
        <v>115</v>
      </c>
      <c r="D70" s="46">
        <v>4800</v>
      </c>
    </row>
    <row r="71" spans="1:4" ht="27" x14ac:dyDescent="0.35">
      <c r="A71" s="43">
        <v>14</v>
      </c>
      <c r="B71" s="44" t="s">
        <v>112</v>
      </c>
      <c r="C71" s="44" t="s">
        <v>115</v>
      </c>
      <c r="D71" s="46">
        <v>3750</v>
      </c>
    </row>
    <row r="72" spans="1:4" ht="27" x14ac:dyDescent="0.35">
      <c r="A72" s="43">
        <v>15</v>
      </c>
      <c r="B72" s="44" t="s">
        <v>113</v>
      </c>
      <c r="C72" s="44" t="s">
        <v>115</v>
      </c>
      <c r="D72" s="46">
        <v>3750</v>
      </c>
    </row>
    <row r="73" spans="1:4" ht="27" x14ac:dyDescent="0.35">
      <c r="A73" s="43">
        <v>16</v>
      </c>
      <c r="B73" s="25" t="s">
        <v>119</v>
      </c>
      <c r="C73" s="44" t="s">
        <v>118</v>
      </c>
      <c r="D73" s="46">
        <v>4285.83</v>
      </c>
    </row>
    <row r="74" spans="1:4" ht="40.5" x14ac:dyDescent="0.35">
      <c r="A74" s="43">
        <v>17</v>
      </c>
      <c r="B74" s="25" t="s">
        <v>120</v>
      </c>
      <c r="C74" s="44" t="s">
        <v>118</v>
      </c>
      <c r="D74" s="46">
        <v>18011.650000000001</v>
      </c>
    </row>
    <row r="75" spans="1:4" ht="27" x14ac:dyDescent="0.35">
      <c r="A75" s="43">
        <v>18</v>
      </c>
      <c r="B75" s="25" t="s">
        <v>121</v>
      </c>
      <c r="C75" s="44" t="s">
        <v>118</v>
      </c>
      <c r="D75" s="46">
        <v>23735.66</v>
      </c>
    </row>
    <row r="76" spans="1:4" ht="27" x14ac:dyDescent="0.35">
      <c r="A76" s="43">
        <v>19</v>
      </c>
      <c r="B76" s="44" t="s">
        <v>122</v>
      </c>
      <c r="C76" s="44" t="s">
        <v>118</v>
      </c>
      <c r="D76" s="46">
        <v>4536</v>
      </c>
    </row>
    <row r="77" spans="1:4" ht="27" x14ac:dyDescent="0.35">
      <c r="A77" s="43">
        <v>20</v>
      </c>
      <c r="B77" s="44" t="s">
        <v>123</v>
      </c>
      <c r="C77" s="44" t="s">
        <v>118</v>
      </c>
      <c r="D77" s="46">
        <v>20912.59</v>
      </c>
    </row>
    <row r="78" spans="1:4" ht="27" x14ac:dyDescent="0.35">
      <c r="A78" s="43">
        <v>21</v>
      </c>
      <c r="B78" s="44" t="s">
        <v>124</v>
      </c>
      <c r="C78" s="44" t="s">
        <v>118</v>
      </c>
      <c r="D78" s="46">
        <v>18820.5</v>
      </c>
    </row>
    <row r="79" spans="1:4" ht="27" x14ac:dyDescent="0.35">
      <c r="A79" s="43">
        <v>22</v>
      </c>
      <c r="B79" s="44" t="s">
        <v>104</v>
      </c>
      <c r="C79" s="44" t="s">
        <v>118</v>
      </c>
      <c r="D79" s="46">
        <v>46200</v>
      </c>
    </row>
    <row r="80" spans="1:4" ht="27" x14ac:dyDescent="0.35">
      <c r="A80" s="43">
        <v>23</v>
      </c>
      <c r="B80" s="44" t="s">
        <v>125</v>
      </c>
      <c r="C80" s="44" t="s">
        <v>118</v>
      </c>
      <c r="D80" s="46">
        <v>10394.74</v>
      </c>
    </row>
    <row r="81" spans="1:5" ht="27" x14ac:dyDescent="0.35">
      <c r="A81" s="43">
        <v>24</v>
      </c>
      <c r="B81" s="44" t="s">
        <v>126</v>
      </c>
      <c r="C81" s="44" t="s">
        <v>118</v>
      </c>
      <c r="D81" s="46">
        <v>7602.03</v>
      </c>
    </row>
    <row r="82" spans="1:5" ht="13.5" x14ac:dyDescent="0.35">
      <c r="A82" s="134" t="s">
        <v>127</v>
      </c>
      <c r="B82" s="135"/>
      <c r="C82" s="135"/>
      <c r="D82" s="51">
        <f>SUM(D58:D81)</f>
        <v>404494</v>
      </c>
    </row>
    <row r="83" spans="1:5" ht="13.5" x14ac:dyDescent="0.35">
      <c r="A83" s="137" t="s">
        <v>145</v>
      </c>
      <c r="B83" s="138"/>
      <c r="C83" s="138"/>
      <c r="D83" s="139"/>
    </row>
    <row r="84" spans="1:5" ht="13.5" x14ac:dyDescent="0.35">
      <c r="A84" s="43">
        <v>1</v>
      </c>
      <c r="B84" s="44" t="s">
        <v>132</v>
      </c>
      <c r="C84" s="44" t="s">
        <v>143</v>
      </c>
      <c r="D84" s="52">
        <v>22500</v>
      </c>
    </row>
    <row r="85" spans="1:5" ht="13.5" x14ac:dyDescent="0.35">
      <c r="A85" s="43">
        <v>2</v>
      </c>
      <c r="B85" s="44" t="s">
        <v>133</v>
      </c>
      <c r="C85" s="44" t="s">
        <v>143</v>
      </c>
      <c r="D85" s="52">
        <v>30000</v>
      </c>
    </row>
    <row r="86" spans="1:5" ht="27" x14ac:dyDescent="0.35">
      <c r="A86" s="43">
        <v>3</v>
      </c>
      <c r="B86" s="44" t="s">
        <v>135</v>
      </c>
      <c r="C86" s="44" t="s">
        <v>143</v>
      </c>
      <c r="D86" s="52">
        <v>10000</v>
      </c>
    </row>
    <row r="87" spans="1:5" ht="27" x14ac:dyDescent="0.35">
      <c r="A87" s="43">
        <v>4</v>
      </c>
      <c r="B87" s="44" t="s">
        <v>137</v>
      </c>
      <c r="C87" s="44" t="s">
        <v>143</v>
      </c>
      <c r="D87" s="52">
        <v>10000</v>
      </c>
    </row>
    <row r="88" spans="1:5" ht="40.5" x14ac:dyDescent="0.35">
      <c r="A88" s="43">
        <v>5</v>
      </c>
      <c r="B88" s="44" t="s">
        <v>139</v>
      </c>
      <c r="C88" s="44" t="s">
        <v>143</v>
      </c>
      <c r="D88" s="52">
        <v>98000</v>
      </c>
    </row>
    <row r="89" spans="1:5" s="54" customFormat="1" ht="12.5" customHeight="1" x14ac:dyDescent="0.35">
      <c r="A89" s="137" t="s">
        <v>144</v>
      </c>
      <c r="B89" s="138"/>
      <c r="C89" s="138"/>
      <c r="D89" s="53">
        <f>SUM(D84:D88)</f>
        <v>170500</v>
      </c>
    </row>
    <row r="90" spans="1:5" ht="13.5" x14ac:dyDescent="0.35">
      <c r="A90" s="128" t="s">
        <v>14</v>
      </c>
      <c r="B90" s="128"/>
      <c r="C90" s="128"/>
      <c r="D90" s="55">
        <f>D16+D21+D25+D35+D39+D47+D56+D82+D89</f>
        <v>114656020.66799998</v>
      </c>
      <c r="E90" s="56"/>
    </row>
    <row r="91" spans="1:5" ht="13.5" x14ac:dyDescent="0.35">
      <c r="B91" s="57"/>
      <c r="C91" s="57"/>
    </row>
    <row r="92" spans="1:5" ht="13.5" x14ac:dyDescent="0.35">
      <c r="B92" s="57"/>
      <c r="C92" s="57"/>
    </row>
    <row r="93" spans="1:5" ht="13.5" x14ac:dyDescent="0.35">
      <c r="B93" s="57"/>
      <c r="C93" s="57"/>
    </row>
    <row r="94" spans="1:5" ht="13.5" x14ac:dyDescent="0.35">
      <c r="B94" s="57"/>
      <c r="C94" s="57"/>
    </row>
    <row r="95" spans="1:5" ht="13.5" x14ac:dyDescent="0.35">
      <c r="B95" s="57"/>
      <c r="C95" s="57"/>
    </row>
    <row r="96" spans="1:5" ht="13.5" x14ac:dyDescent="0.35">
      <c r="B96" s="57"/>
      <c r="C96" s="57"/>
    </row>
    <row r="97" spans="2:3" ht="13.5" x14ac:dyDescent="0.35">
      <c r="B97" s="57"/>
      <c r="C97" s="57"/>
    </row>
    <row r="98" spans="2:3" ht="13.5" x14ac:dyDescent="0.35">
      <c r="B98" s="57"/>
      <c r="C98" s="57"/>
    </row>
    <row r="99" spans="2:3" ht="13.5" x14ac:dyDescent="0.35">
      <c r="B99" s="57"/>
      <c r="C99" s="57"/>
    </row>
    <row r="100" spans="2:3" ht="13.5" x14ac:dyDescent="0.35">
      <c r="B100" s="57"/>
      <c r="C100" s="57"/>
    </row>
    <row r="101" spans="2:3" ht="13.5" x14ac:dyDescent="0.35">
      <c r="B101" s="57"/>
      <c r="C101" s="57"/>
    </row>
    <row r="102" spans="2:3" ht="13.5" x14ac:dyDescent="0.35">
      <c r="B102" s="57"/>
      <c r="C102" s="57"/>
    </row>
    <row r="103" spans="2:3" ht="13.5" x14ac:dyDescent="0.35">
      <c r="B103" s="57"/>
      <c r="C103" s="57"/>
    </row>
    <row r="104" spans="2:3" ht="13.5" x14ac:dyDescent="0.35">
      <c r="B104" s="57"/>
      <c r="C104" s="57"/>
    </row>
    <row r="105" spans="2:3" ht="13.5" x14ac:dyDescent="0.35">
      <c r="B105" s="57"/>
      <c r="C105" s="57"/>
    </row>
    <row r="106" spans="2:3" ht="13.5" x14ac:dyDescent="0.35">
      <c r="B106" s="57"/>
      <c r="C106" s="57"/>
    </row>
    <row r="107" spans="2:3" ht="13.5" x14ac:dyDescent="0.35">
      <c r="B107" s="57"/>
      <c r="C107" s="57"/>
    </row>
    <row r="108" spans="2:3" ht="13.5" x14ac:dyDescent="0.35">
      <c r="B108" s="57"/>
      <c r="C108" s="57"/>
    </row>
    <row r="109" spans="2:3" ht="13.5" x14ac:dyDescent="0.35">
      <c r="B109" s="57"/>
      <c r="C109" s="57"/>
    </row>
    <row r="110" spans="2:3" ht="13.5" x14ac:dyDescent="0.35">
      <c r="B110" s="57"/>
      <c r="C110" s="57"/>
    </row>
    <row r="111" spans="2:3" ht="13.5" x14ac:dyDescent="0.35">
      <c r="B111" s="57"/>
      <c r="C111" s="57"/>
    </row>
    <row r="112" spans="2:3" ht="13.5" x14ac:dyDescent="0.35">
      <c r="B112" s="57"/>
      <c r="C112" s="57"/>
    </row>
    <row r="113" spans="2:3" ht="13.5" x14ac:dyDescent="0.35">
      <c r="B113" s="57"/>
      <c r="C113" s="57"/>
    </row>
    <row r="114" spans="2:3" ht="13.5" x14ac:dyDescent="0.35">
      <c r="B114" s="57"/>
      <c r="C114" s="57"/>
    </row>
    <row r="115" spans="2:3" ht="13.5" x14ac:dyDescent="0.35">
      <c r="B115" s="57"/>
      <c r="C115" s="57"/>
    </row>
    <row r="116" spans="2:3" ht="13.5" x14ac:dyDescent="0.35">
      <c r="B116" s="57"/>
      <c r="C116" s="57"/>
    </row>
    <row r="117" spans="2:3" ht="13.5" x14ac:dyDescent="0.35">
      <c r="B117" s="57"/>
      <c r="C117" s="57"/>
    </row>
    <row r="118" spans="2:3" ht="13.5" x14ac:dyDescent="0.35">
      <c r="B118" s="57"/>
      <c r="C118" s="57"/>
    </row>
    <row r="119" spans="2:3" ht="13.5" x14ac:dyDescent="0.35">
      <c r="B119" s="57"/>
      <c r="C119" s="57"/>
    </row>
    <row r="120" spans="2:3" ht="13.5" x14ac:dyDescent="0.35">
      <c r="B120" s="57"/>
      <c r="C120" s="57"/>
    </row>
    <row r="121" spans="2:3" ht="13.5" x14ac:dyDescent="0.35">
      <c r="B121" s="57"/>
      <c r="C121" s="57"/>
    </row>
    <row r="122" spans="2:3" ht="13.5" x14ac:dyDescent="0.35">
      <c r="B122" s="57"/>
      <c r="C122" s="57"/>
    </row>
    <row r="123" spans="2:3" ht="13.5" x14ac:dyDescent="0.35">
      <c r="B123" s="57"/>
      <c r="C123" s="57"/>
    </row>
    <row r="124" spans="2:3" ht="13.5" x14ac:dyDescent="0.35">
      <c r="B124" s="57"/>
      <c r="C124" s="57"/>
    </row>
    <row r="125" spans="2:3" ht="13.5" x14ac:dyDescent="0.35">
      <c r="B125" s="57"/>
      <c r="C125" s="57"/>
    </row>
    <row r="126" spans="2:3" ht="13.5" x14ac:dyDescent="0.35">
      <c r="B126" s="57"/>
      <c r="C126" s="57"/>
    </row>
    <row r="127" spans="2:3" ht="13.5" x14ac:dyDescent="0.35">
      <c r="B127" s="57"/>
      <c r="C127" s="57"/>
    </row>
    <row r="128" spans="2:3" ht="13.5" x14ac:dyDescent="0.35">
      <c r="B128" s="57"/>
      <c r="C128" s="57"/>
    </row>
    <row r="129" spans="2:3" ht="13.5" x14ac:dyDescent="0.35">
      <c r="B129" s="57"/>
      <c r="C129" s="57"/>
    </row>
    <row r="130" spans="2:3" ht="13.5" x14ac:dyDescent="0.35">
      <c r="B130" s="57"/>
      <c r="C130" s="57"/>
    </row>
    <row r="131" spans="2:3" ht="13.5" x14ac:dyDescent="0.35">
      <c r="B131" s="57"/>
      <c r="C131" s="57"/>
    </row>
    <row r="132" spans="2:3" ht="13.5" x14ac:dyDescent="0.35">
      <c r="B132" s="57"/>
      <c r="C132" s="57"/>
    </row>
    <row r="133" spans="2:3" ht="13.5" x14ac:dyDescent="0.35">
      <c r="B133" s="57"/>
      <c r="C133" s="57"/>
    </row>
    <row r="134" spans="2:3" ht="13.5" x14ac:dyDescent="0.35">
      <c r="B134" s="57"/>
      <c r="C134" s="57"/>
    </row>
    <row r="135" spans="2:3" ht="13.5" x14ac:dyDescent="0.35">
      <c r="B135" s="57"/>
      <c r="C135" s="57"/>
    </row>
    <row r="136" spans="2:3" ht="13.5" x14ac:dyDescent="0.35">
      <c r="B136" s="57"/>
      <c r="C136" s="57"/>
    </row>
    <row r="137" spans="2:3" ht="13.5" x14ac:dyDescent="0.35">
      <c r="B137" s="57"/>
      <c r="C137" s="57"/>
    </row>
    <row r="138" spans="2:3" ht="13.5" x14ac:dyDescent="0.35">
      <c r="B138" s="57"/>
      <c r="C138" s="57"/>
    </row>
    <row r="139" spans="2:3" ht="13.5" x14ac:dyDescent="0.35">
      <c r="B139" s="57"/>
      <c r="C139" s="57"/>
    </row>
    <row r="140" spans="2:3" ht="13.5" x14ac:dyDescent="0.35">
      <c r="B140" s="57"/>
      <c r="C140" s="57"/>
    </row>
    <row r="141" spans="2:3" ht="13.5" x14ac:dyDescent="0.35">
      <c r="B141" s="57"/>
      <c r="C141" s="57"/>
    </row>
    <row r="142" spans="2:3" ht="13.5" x14ac:dyDescent="0.35">
      <c r="B142" s="57"/>
      <c r="C142" s="57"/>
    </row>
    <row r="143" spans="2:3" ht="13.5" x14ac:dyDescent="0.35">
      <c r="B143" s="57"/>
      <c r="C143" s="57"/>
    </row>
    <row r="144" spans="2:3" ht="13.5" x14ac:dyDescent="0.35">
      <c r="B144" s="57"/>
      <c r="C144" s="57"/>
    </row>
    <row r="145" spans="2:3" ht="13.5" x14ac:dyDescent="0.35">
      <c r="B145" s="57"/>
      <c r="C145" s="57"/>
    </row>
    <row r="146" spans="2:3" ht="13.5" x14ac:dyDescent="0.35">
      <c r="B146" s="57"/>
      <c r="C146" s="57"/>
    </row>
    <row r="147" spans="2:3" ht="13.5" x14ac:dyDescent="0.35">
      <c r="B147" s="57"/>
      <c r="C147" s="57"/>
    </row>
    <row r="148" spans="2:3" ht="13.5" x14ac:dyDescent="0.35">
      <c r="B148" s="57"/>
      <c r="C148" s="57"/>
    </row>
    <row r="149" spans="2:3" ht="13.5" x14ac:dyDescent="0.35">
      <c r="B149" s="57"/>
      <c r="C149" s="57"/>
    </row>
    <row r="150" spans="2:3" ht="13.5" x14ac:dyDescent="0.35">
      <c r="B150" s="57"/>
      <c r="C150" s="57"/>
    </row>
    <row r="151" spans="2:3" ht="13.5" x14ac:dyDescent="0.35">
      <c r="B151" s="57"/>
      <c r="C151" s="57"/>
    </row>
    <row r="152" spans="2:3" ht="13.5" x14ac:dyDescent="0.35">
      <c r="B152" s="57"/>
      <c r="C152" s="57"/>
    </row>
    <row r="153" spans="2:3" ht="13.5" x14ac:dyDescent="0.35">
      <c r="B153" s="57"/>
      <c r="C153" s="57"/>
    </row>
    <row r="154" spans="2:3" ht="13.5" x14ac:dyDescent="0.35">
      <c r="B154" s="57"/>
      <c r="C154" s="57"/>
    </row>
    <row r="155" spans="2:3" ht="13.5" x14ac:dyDescent="0.35">
      <c r="B155" s="57"/>
      <c r="C155" s="57"/>
    </row>
    <row r="156" spans="2:3" ht="13.5" x14ac:dyDescent="0.35">
      <c r="B156" s="57"/>
      <c r="C156" s="57"/>
    </row>
    <row r="157" spans="2:3" ht="13.5" x14ac:dyDescent="0.35">
      <c r="B157" s="57"/>
      <c r="C157" s="57"/>
    </row>
    <row r="158" spans="2:3" ht="13.5" x14ac:dyDescent="0.35">
      <c r="B158" s="57"/>
      <c r="C158" s="57"/>
    </row>
    <row r="159" spans="2:3" ht="13.5" x14ac:dyDescent="0.35">
      <c r="B159" s="57"/>
      <c r="C159" s="57"/>
    </row>
    <row r="160" spans="2:3" ht="13.5" x14ac:dyDescent="0.35">
      <c r="B160" s="57"/>
      <c r="C160" s="57"/>
    </row>
    <row r="161" spans="2:3" ht="13.5" x14ac:dyDescent="0.35">
      <c r="B161" s="57"/>
      <c r="C161" s="57"/>
    </row>
    <row r="162" spans="2:3" ht="13.5" x14ac:dyDescent="0.35">
      <c r="B162" s="57"/>
      <c r="C162" s="57"/>
    </row>
    <row r="163" spans="2:3" ht="13.5" x14ac:dyDescent="0.35">
      <c r="B163" s="57"/>
      <c r="C163" s="57"/>
    </row>
    <row r="164" spans="2:3" ht="13.5" x14ac:dyDescent="0.35">
      <c r="B164" s="57"/>
      <c r="C164" s="57"/>
    </row>
    <row r="165" spans="2:3" ht="13.5" x14ac:dyDescent="0.35">
      <c r="B165" s="57"/>
      <c r="C165" s="57"/>
    </row>
    <row r="166" spans="2:3" ht="13.5" x14ac:dyDescent="0.35">
      <c r="B166" s="57"/>
      <c r="C166" s="57"/>
    </row>
    <row r="167" spans="2:3" ht="13.5" x14ac:dyDescent="0.35">
      <c r="B167" s="57"/>
      <c r="C167" s="57"/>
    </row>
    <row r="168" spans="2:3" ht="13.5" x14ac:dyDescent="0.35">
      <c r="B168" s="57"/>
      <c r="C168" s="57"/>
    </row>
    <row r="169" spans="2:3" ht="13.5" x14ac:dyDescent="0.35">
      <c r="B169" s="57"/>
      <c r="C169" s="57"/>
    </row>
    <row r="170" spans="2:3" ht="13.5" x14ac:dyDescent="0.35">
      <c r="B170" s="57"/>
      <c r="C170" s="57"/>
    </row>
    <row r="171" spans="2:3" ht="13.5" x14ac:dyDescent="0.35">
      <c r="B171" s="57"/>
      <c r="C171" s="57"/>
    </row>
    <row r="172" spans="2:3" ht="13.5" x14ac:dyDescent="0.35">
      <c r="B172" s="57"/>
      <c r="C172" s="57"/>
    </row>
    <row r="173" spans="2:3" ht="13.5" x14ac:dyDescent="0.35">
      <c r="B173" s="57"/>
      <c r="C173" s="57"/>
    </row>
    <row r="174" spans="2:3" ht="13.5" x14ac:dyDescent="0.35">
      <c r="B174" s="57"/>
      <c r="C174" s="57"/>
    </row>
    <row r="175" spans="2:3" ht="13.5" x14ac:dyDescent="0.35">
      <c r="B175" s="57"/>
      <c r="C175" s="57"/>
    </row>
    <row r="176" spans="2:3" ht="13.5" x14ac:dyDescent="0.35">
      <c r="B176" s="57"/>
      <c r="C176" s="57"/>
    </row>
    <row r="177" spans="2:3" ht="13.5" x14ac:dyDescent="0.35">
      <c r="B177" s="57"/>
      <c r="C177" s="57"/>
    </row>
    <row r="178" spans="2:3" ht="13.5" x14ac:dyDescent="0.35">
      <c r="B178" s="57"/>
      <c r="C178" s="57"/>
    </row>
    <row r="179" spans="2:3" ht="13.5" x14ac:dyDescent="0.35">
      <c r="B179" s="57"/>
      <c r="C179" s="57"/>
    </row>
    <row r="180" spans="2:3" ht="13.5" x14ac:dyDescent="0.35">
      <c r="B180" s="57"/>
      <c r="C180" s="57"/>
    </row>
    <row r="181" spans="2:3" ht="13.5" x14ac:dyDescent="0.35">
      <c r="B181" s="57"/>
      <c r="C181" s="57"/>
    </row>
    <row r="182" spans="2:3" ht="13.5" x14ac:dyDescent="0.35">
      <c r="B182" s="57"/>
      <c r="C182" s="57"/>
    </row>
    <row r="183" spans="2:3" ht="13.5" x14ac:dyDescent="0.35">
      <c r="B183" s="57"/>
      <c r="C183" s="57"/>
    </row>
    <row r="184" spans="2:3" ht="13.5" x14ac:dyDescent="0.35">
      <c r="B184" s="57"/>
      <c r="C184" s="57"/>
    </row>
    <row r="185" spans="2:3" ht="13.5" x14ac:dyDescent="0.35">
      <c r="B185" s="57"/>
      <c r="C185" s="57"/>
    </row>
    <row r="186" spans="2:3" ht="13.5" x14ac:dyDescent="0.35">
      <c r="B186" s="57"/>
      <c r="C186" s="57"/>
    </row>
    <row r="187" spans="2:3" ht="13.5" x14ac:dyDescent="0.35">
      <c r="B187" s="57"/>
      <c r="C187" s="57"/>
    </row>
    <row r="188" spans="2:3" ht="13.5" x14ac:dyDescent="0.35">
      <c r="B188" s="57"/>
      <c r="C188" s="57"/>
    </row>
    <row r="189" spans="2:3" ht="13.5" x14ac:dyDescent="0.35">
      <c r="B189" s="57"/>
      <c r="C189" s="57"/>
    </row>
    <row r="190" spans="2:3" ht="13.5" x14ac:dyDescent="0.35">
      <c r="B190" s="57"/>
      <c r="C190" s="57"/>
    </row>
    <row r="191" spans="2:3" ht="13.5" x14ac:dyDescent="0.35">
      <c r="B191" s="57"/>
      <c r="C191" s="57"/>
    </row>
    <row r="192" spans="2:3" ht="13.5" x14ac:dyDescent="0.35">
      <c r="B192" s="57"/>
      <c r="C192" s="57"/>
    </row>
    <row r="193" spans="2:3" ht="13.5" x14ac:dyDescent="0.35">
      <c r="B193" s="57"/>
      <c r="C193" s="57"/>
    </row>
    <row r="194" spans="2:3" ht="13.5" x14ac:dyDescent="0.35">
      <c r="B194" s="57"/>
      <c r="C194" s="57"/>
    </row>
    <row r="195" spans="2:3" ht="13.5" x14ac:dyDescent="0.35">
      <c r="B195" s="57"/>
      <c r="C195" s="57"/>
    </row>
    <row r="196" spans="2:3" ht="13.5" x14ac:dyDescent="0.35">
      <c r="B196" s="57"/>
      <c r="C196" s="57"/>
    </row>
    <row r="197" spans="2:3" ht="13.5" x14ac:dyDescent="0.35">
      <c r="B197" s="57"/>
      <c r="C197" s="57"/>
    </row>
    <row r="198" spans="2:3" ht="13.5" x14ac:dyDescent="0.35">
      <c r="B198" s="57"/>
      <c r="C198" s="57"/>
    </row>
    <row r="199" spans="2:3" ht="13.5" x14ac:dyDescent="0.35">
      <c r="B199" s="57"/>
      <c r="C199" s="57"/>
    </row>
    <row r="200" spans="2:3" ht="13.5" x14ac:dyDescent="0.35">
      <c r="B200" s="57"/>
      <c r="C200" s="57"/>
    </row>
    <row r="201" spans="2:3" ht="13.5" x14ac:dyDescent="0.35">
      <c r="B201" s="57"/>
      <c r="C201" s="57"/>
    </row>
    <row r="202" spans="2:3" ht="13.5" x14ac:dyDescent="0.35">
      <c r="B202" s="57"/>
      <c r="C202" s="57"/>
    </row>
    <row r="203" spans="2:3" ht="13.5" x14ac:dyDescent="0.35">
      <c r="B203" s="57"/>
      <c r="C203" s="57"/>
    </row>
    <row r="204" spans="2:3" ht="13.5" x14ac:dyDescent="0.35">
      <c r="B204" s="57"/>
      <c r="C204" s="57"/>
    </row>
    <row r="205" spans="2:3" ht="13.5" x14ac:dyDescent="0.35">
      <c r="B205" s="57"/>
      <c r="C205" s="57"/>
    </row>
    <row r="206" spans="2:3" ht="13.5" x14ac:dyDescent="0.35">
      <c r="B206" s="57"/>
      <c r="C206" s="57"/>
    </row>
    <row r="207" spans="2:3" ht="13.5" x14ac:dyDescent="0.35">
      <c r="B207" s="57"/>
      <c r="C207" s="57"/>
    </row>
    <row r="208" spans="2:3" ht="13.5" x14ac:dyDescent="0.35">
      <c r="B208" s="57"/>
      <c r="C208" s="57"/>
    </row>
    <row r="209" spans="2:3" ht="13.5" x14ac:dyDescent="0.35">
      <c r="B209" s="57"/>
      <c r="C209" s="57"/>
    </row>
    <row r="210" spans="2:3" ht="13.5" x14ac:dyDescent="0.35">
      <c r="B210" s="57"/>
      <c r="C210" s="57"/>
    </row>
    <row r="211" spans="2:3" ht="13.5" x14ac:dyDescent="0.35">
      <c r="B211" s="57"/>
      <c r="C211" s="57"/>
    </row>
    <row r="212" spans="2:3" ht="13.5" x14ac:dyDescent="0.35">
      <c r="B212" s="57"/>
      <c r="C212" s="57"/>
    </row>
    <row r="213" spans="2:3" ht="13.5" x14ac:dyDescent="0.35">
      <c r="B213" s="57"/>
      <c r="C213" s="57"/>
    </row>
    <row r="214" spans="2:3" ht="13.5" x14ac:dyDescent="0.35">
      <c r="B214" s="57"/>
      <c r="C214" s="57"/>
    </row>
    <row r="215" spans="2:3" ht="13.5" x14ac:dyDescent="0.35">
      <c r="B215" s="57"/>
      <c r="C215" s="57"/>
    </row>
    <row r="216" spans="2:3" ht="13.5" x14ac:dyDescent="0.35">
      <c r="B216" s="57"/>
      <c r="C216" s="57"/>
    </row>
    <row r="217" spans="2:3" ht="13.5" x14ac:dyDescent="0.35">
      <c r="B217" s="57"/>
      <c r="C217" s="57"/>
    </row>
    <row r="218" spans="2:3" ht="13.5" x14ac:dyDescent="0.35">
      <c r="B218" s="57"/>
      <c r="C218" s="57"/>
    </row>
    <row r="219" spans="2:3" ht="13.5" x14ac:dyDescent="0.35">
      <c r="B219" s="57"/>
      <c r="C219" s="57"/>
    </row>
    <row r="220" spans="2:3" ht="13.5" x14ac:dyDescent="0.35">
      <c r="B220" s="57"/>
      <c r="C220" s="57"/>
    </row>
    <row r="221" spans="2:3" ht="13.5" x14ac:dyDescent="0.35">
      <c r="B221" s="57"/>
      <c r="C221" s="57"/>
    </row>
    <row r="222" spans="2:3" ht="13.5" x14ac:dyDescent="0.35">
      <c r="B222" s="57"/>
      <c r="C222" s="57"/>
    </row>
    <row r="223" spans="2:3" ht="13.5" x14ac:dyDescent="0.35">
      <c r="B223" s="57"/>
      <c r="C223" s="57"/>
    </row>
    <row r="224" spans="2:3" ht="13.5" x14ac:dyDescent="0.35">
      <c r="B224" s="57"/>
      <c r="C224" s="57"/>
    </row>
    <row r="225" spans="2:3" ht="13.5" x14ac:dyDescent="0.35">
      <c r="B225" s="57"/>
      <c r="C225" s="57"/>
    </row>
    <row r="226" spans="2:3" ht="13.5" x14ac:dyDescent="0.35">
      <c r="B226" s="57"/>
      <c r="C226" s="57"/>
    </row>
    <row r="227" spans="2:3" ht="13.5" x14ac:dyDescent="0.35">
      <c r="B227" s="57"/>
      <c r="C227" s="57"/>
    </row>
    <row r="228" spans="2:3" ht="13.5" x14ac:dyDescent="0.35">
      <c r="B228" s="57"/>
      <c r="C228" s="57"/>
    </row>
    <row r="229" spans="2:3" ht="13.5" x14ac:dyDescent="0.35">
      <c r="B229" s="57"/>
      <c r="C229" s="57"/>
    </row>
    <row r="230" spans="2:3" ht="13.5" x14ac:dyDescent="0.35">
      <c r="B230" s="57"/>
      <c r="C230" s="57"/>
    </row>
    <row r="231" spans="2:3" ht="13.5" x14ac:dyDescent="0.35">
      <c r="B231" s="57"/>
      <c r="C231" s="57"/>
    </row>
    <row r="232" spans="2:3" ht="13.5" x14ac:dyDescent="0.35">
      <c r="B232" s="57"/>
      <c r="C232" s="57"/>
    </row>
    <row r="233" spans="2:3" ht="13.5" x14ac:dyDescent="0.35">
      <c r="B233" s="57"/>
      <c r="C233" s="57"/>
    </row>
    <row r="234" spans="2:3" ht="13.5" x14ac:dyDescent="0.35">
      <c r="B234" s="57"/>
      <c r="C234" s="57"/>
    </row>
    <row r="235" spans="2:3" ht="13.5" x14ac:dyDescent="0.35">
      <c r="B235" s="57"/>
      <c r="C235" s="57"/>
    </row>
    <row r="236" spans="2:3" ht="13.5" x14ac:dyDescent="0.35">
      <c r="B236" s="57"/>
      <c r="C236" s="57"/>
    </row>
    <row r="237" spans="2:3" ht="13.5" x14ac:dyDescent="0.35">
      <c r="B237" s="57"/>
      <c r="C237" s="57"/>
    </row>
    <row r="238" spans="2:3" ht="13.5" x14ac:dyDescent="0.35">
      <c r="B238" s="57"/>
      <c r="C238" s="57"/>
    </row>
    <row r="239" spans="2:3" ht="13.5" x14ac:dyDescent="0.35">
      <c r="B239" s="57"/>
      <c r="C239" s="57"/>
    </row>
    <row r="240" spans="2:3" ht="13.5" x14ac:dyDescent="0.35">
      <c r="B240" s="57"/>
      <c r="C240" s="57"/>
    </row>
    <row r="241" spans="2:3" ht="13.5" x14ac:dyDescent="0.35">
      <c r="B241" s="57"/>
      <c r="C241" s="57"/>
    </row>
    <row r="242" spans="2:3" ht="13.5" x14ac:dyDescent="0.35">
      <c r="B242" s="57"/>
      <c r="C242" s="57"/>
    </row>
    <row r="243" spans="2:3" ht="13.5" x14ac:dyDescent="0.35">
      <c r="B243" s="57"/>
      <c r="C243" s="57"/>
    </row>
    <row r="244" spans="2:3" ht="13.5" x14ac:dyDescent="0.35">
      <c r="B244" s="57"/>
      <c r="C244" s="57"/>
    </row>
    <row r="245" spans="2:3" ht="13.5" x14ac:dyDescent="0.35">
      <c r="B245" s="57"/>
      <c r="C245" s="57"/>
    </row>
    <row r="246" spans="2:3" ht="13.5" x14ac:dyDescent="0.35">
      <c r="B246" s="57"/>
      <c r="C246" s="57"/>
    </row>
    <row r="247" spans="2:3" ht="13.5" x14ac:dyDescent="0.35">
      <c r="B247" s="57"/>
      <c r="C247" s="57"/>
    </row>
    <row r="248" spans="2:3" ht="13.5" x14ac:dyDescent="0.35">
      <c r="B248" s="57"/>
      <c r="C248" s="57"/>
    </row>
    <row r="249" spans="2:3" ht="15.75" customHeight="1" x14ac:dyDescent="0.35"/>
    <row r="250" spans="2:3" ht="15.75" customHeight="1" x14ac:dyDescent="0.35"/>
    <row r="251" spans="2:3" ht="15.75" customHeight="1" x14ac:dyDescent="0.35"/>
    <row r="252" spans="2:3" ht="15.75" customHeight="1" x14ac:dyDescent="0.35"/>
    <row r="253" spans="2:3" ht="15.75" customHeight="1" x14ac:dyDescent="0.35"/>
    <row r="254" spans="2:3" ht="15.75" customHeight="1" x14ac:dyDescent="0.35"/>
    <row r="255" spans="2:3" ht="15.75" customHeight="1" x14ac:dyDescent="0.35"/>
    <row r="256" spans="2:3"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4">
    <mergeCell ref="A90:C90"/>
    <mergeCell ref="A48:D48"/>
    <mergeCell ref="A56:C56"/>
    <mergeCell ref="A57:D57"/>
    <mergeCell ref="A82:C82"/>
    <mergeCell ref="A83:D83"/>
    <mergeCell ref="A89:C89"/>
    <mergeCell ref="A47:C47"/>
    <mergeCell ref="A4:D4"/>
    <mergeCell ref="A16:C16"/>
    <mergeCell ref="A17:D17"/>
    <mergeCell ref="A21:C21"/>
    <mergeCell ref="A22:D22"/>
    <mergeCell ref="A25:C25"/>
    <mergeCell ref="A26:D26"/>
    <mergeCell ref="A35:C35"/>
    <mergeCell ref="A36:D36"/>
    <mergeCell ref="A39:C39"/>
    <mergeCell ref="A40:D40"/>
    <mergeCell ref="A1:D1"/>
    <mergeCell ref="A2:A3"/>
    <mergeCell ref="B2:B3"/>
    <mergeCell ref="C2:C3"/>
    <mergeCell ref="D2:D3"/>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640625" defaultRowHeight="15" customHeight="1" x14ac:dyDescent="0.3"/>
  <cols>
    <col min="1" max="6" width="7.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Sheet6</vt:lpstr>
      <vt:lpstr>Sheet5</vt:lpstr>
      <vt:lpstr>Sheet4</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Dorina Buica</dc:creator>
  <cp:lastModifiedBy>ANDREI TARABIC</cp:lastModifiedBy>
  <cp:lastPrinted>2020-07-03T06:29:23Z</cp:lastPrinted>
  <dcterms:created xsi:type="dcterms:W3CDTF">2019-11-26T13:13:15Z</dcterms:created>
  <dcterms:modified xsi:type="dcterms:W3CDTF">2020-07-03T06:31:07Z</dcterms:modified>
</cp:coreProperties>
</file>