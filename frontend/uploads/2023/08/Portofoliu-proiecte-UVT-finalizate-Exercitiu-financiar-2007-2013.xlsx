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realizate\SITE DAIP\"/>
    </mc:Choice>
  </mc:AlternateContent>
  <bookViews>
    <workbookView xWindow="0" yWindow="0" windowWidth="23040" windowHeight="9072"/>
  </bookViews>
  <sheets>
    <sheet name="Sheet1" sheetId="1" r:id="rId1"/>
  </sheets>
  <definedNames>
    <definedName name="_xlnm._FilterDatabase" localSheetId="0" hidden="1">Sheet1!$A$7:$E$101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jpr03eAFxpQbaBjXvSlLJJ9bvG8w=="/>
    </ext>
  </extLst>
</workbook>
</file>

<file path=xl/calcChain.xml><?xml version="1.0" encoding="utf-8"?>
<calcChain xmlns="http://schemas.openxmlformats.org/spreadsheetml/2006/main">
  <c r="E161" i="1" l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70" i="1" s="1"/>
  <c r="E121" i="1"/>
  <c r="E120" i="1"/>
  <c r="E117" i="1"/>
  <c r="E103" i="1"/>
  <c r="E97" i="1"/>
  <c r="E16" i="1"/>
  <c r="E171" i="1" l="1"/>
</calcChain>
</file>

<file path=xl/sharedStrings.xml><?xml version="1.0" encoding="utf-8"?>
<sst xmlns="http://schemas.openxmlformats.org/spreadsheetml/2006/main" count="458" uniqueCount="308">
  <si>
    <t>PROIECTE DAIP - gestionate în exercițiul financiar 2007-2013</t>
  </si>
  <si>
    <t>Nr. Crt.</t>
  </si>
  <si>
    <t>Denumire Proiect</t>
  </si>
  <si>
    <t>Id proiect</t>
  </si>
  <si>
    <t>Tip Proiect (POSDRU, POSCCE, IPA, POCA, Extracurriculare, CJT)</t>
  </si>
  <si>
    <t>Valoarea contractată (în lei)</t>
  </si>
  <si>
    <t>Proiecte finantate prin prin Programul Operational Sectorial Cresterea Competitivitatii Economice (POSCCE)</t>
  </si>
  <si>
    <t>Infrastructura grid orientata spre servicii / Infragrid</t>
  </si>
  <si>
    <t xml:space="preserve">NR. 184                                     Cod: SMIS-CSNR 2717
</t>
  </si>
  <si>
    <t>POSCCE</t>
  </si>
  <si>
    <t>Cresterea performantelor administrative in procesul de comunicare in mediul universitar</t>
  </si>
  <si>
    <t>Nr. 225                                      Cod: SMIS - CSNR 2765</t>
  </si>
  <si>
    <t>Noi aditivi obtinuti pe baza de compusi organici ai siliciului utilizati pentru imbunatatirea proprietatilor produselor compozite organico-anorganice</t>
  </si>
  <si>
    <t xml:space="preserve">Nr. 456                                                 Cod SMIS-CSNR 11805
</t>
  </si>
  <si>
    <t>Institutul de cercetari avansate de mediu</t>
  </si>
  <si>
    <t>NR 948                                                                   COD SMIS: 14679</t>
  </si>
  <si>
    <t>Noi tehnologii eficiente energetic pentru sinteza unor copolimeri poliesterici</t>
  </si>
  <si>
    <t>Total Proiecte finantate prin prin Programul Operational Sectorial Cresterea Competitivitatii Economice (POSCCE)</t>
  </si>
  <si>
    <t>Proiecte finantate prin Programul Operational Sectorial Dezvoltarea Resurselor Umane 2007-2013 (POSDRU)</t>
  </si>
  <si>
    <t>Antreprenoriatul si egalitatea de sanse. Un model interregional de scoala antreprenoriala pentru femei (ANTRES)</t>
  </si>
  <si>
    <t>POSDRU/9/3.1/S/5</t>
  </si>
  <si>
    <t>POSDRU</t>
  </si>
  <si>
    <t>Schema inovativa pentru tranzitia de la scoala la piata muncii pentru studenti</t>
  </si>
  <si>
    <t>POSDRU/7/2.1/S/4</t>
  </si>
  <si>
    <t>Formarea de competente de predare a chimiei pt cadrele didactice din invatamantul preuniversitar licentiate in alte discipline inrudite</t>
  </si>
  <si>
    <t>POSDRU/19/1.3/G/15852</t>
  </si>
  <si>
    <t>Promovarea incluziunii sociale prin dezvoltarea resurselor umane si institutionale din asistenta medicala comunitara</t>
  </si>
  <si>
    <t>POSDRU/69/6.1/S/18786</t>
  </si>
  <si>
    <t>Formarea cadrelor didactice universitare și a studenților în domeniul utilizării unor instrumente moderne de predare-învățare-evaluare pentru disciplinele matematice, în vederea creării de competențe performante și practice pentru piața munii</t>
  </si>
  <si>
    <t>POSDRU/56/1.2/S/32768</t>
  </si>
  <si>
    <t>Programe pentru cercetarea doctorala de excelenta in economie prin parteneriate active</t>
  </si>
  <si>
    <t>POSDRU/21/1.5/G/22682</t>
  </si>
  <si>
    <t>Formare continua de tip "blended learning" pentru cadrele didactice universitare</t>
  </si>
  <si>
    <t>POSDRU/57/1.3/S/26646</t>
  </si>
  <si>
    <t>Parteneriat local pentru ridicarea nivelului scolilor doctorale si valorificarea potentialului uman din cercetare in domeniile prioritare a Romaniei la UE</t>
  </si>
  <si>
    <t>POSDRU/21/1.5/G/38347</t>
  </si>
  <si>
    <t>Facilitarea profesionala pentru calitatea instruirii eficiente</t>
  </si>
  <si>
    <t>POSDRU/19/1.3/G/31271</t>
  </si>
  <si>
    <t>Competentele absolventilor si nevoile angajatorilor. O cercetare – actiune pentru integrarea pe piata muncii</t>
  </si>
  <si>
    <t>POSDRU/18/1.2/G/28335</t>
  </si>
  <si>
    <t>Scoala doctorala in sprijinul cercetarii in context european</t>
  </si>
  <si>
    <t>POSDRU/21/1.5/G/13798</t>
  </si>
  <si>
    <t>Model de armonizarea a precticilor in domeniul managementului financiar al proiectelor finantate prin FSE</t>
  </si>
  <si>
    <t>POSDRU/41/3.3/G/40317</t>
  </si>
  <si>
    <t>Centru pilot integrat pentru initierea si sprijinirea afacerilor, in scopul cresterii competitivitatii economiei romanesti in conditiile aderarii la Uniunea Europeana si a dezvoltarii durabile</t>
  </si>
  <si>
    <t>POSDRU/9/3.1/S/1</t>
  </si>
  <si>
    <t>Reconstructia statutului femeii: de la discriminare la dezvoltarea profesionala si egalitatea de sanse</t>
  </si>
  <si>
    <t>POSDRU/97/6.3/S/50679</t>
  </si>
  <si>
    <t>Specialisti in management curricular</t>
  </si>
  <si>
    <t>POSDRU/19/1.3/G/30654</t>
  </si>
  <si>
    <t>Observatorul profesiilor muzicale din Romania (OPMR)</t>
  </si>
  <si>
    <t>POSDRU/18/1.2/G/33715</t>
  </si>
  <si>
    <t>Adaptarea curriculei universitare, de masterat, la cerintele pietei muncii din Romania in domeniul proiectelor finantate din fondurile structurale si de coeziune</t>
  </si>
  <si>
    <t>POSDRU/86/1.2/G/64076</t>
  </si>
  <si>
    <t>Doctorat in economie la standardele Europei cunoasterii (DoEsEC)</t>
  </si>
  <si>
    <t>POSDRU/88/1.5/S/55287</t>
  </si>
  <si>
    <t>Practica ta pentru educatia viitorului</t>
  </si>
  <si>
    <t>POSDRU/60/2.1/S/33675</t>
  </si>
  <si>
    <t>Cresterea calitatii si a competitivitatii cercetarii doctorale prin acordarea de burse</t>
  </si>
  <si>
    <t>POSDRU/88/1.5/S/49516</t>
  </si>
  <si>
    <t>Studii Post-Doctorale in Economie: program de formare continuă a cercetătorilor de elită - SPODE</t>
  </si>
  <si>
    <t>POSDRU/89/1.5/S/61755</t>
  </si>
  <si>
    <t>Retea transnationala de management integrat al cercetarii postdoctorale in domeniul Comunicarea stiintei. Constructie institutionala (scoala postdoctorala) si program de burse (CommScie)</t>
  </si>
  <si>
    <t>POSDRU/89/1.5/S/63663</t>
  </si>
  <si>
    <t>Comunitate virtuala interuniversitara pentru stiinta, tehnologie, inovare si valorificare a proprietatii intelectuale</t>
  </si>
  <si>
    <t>POSDRU/86/1.2/S/56872</t>
  </si>
  <si>
    <t>Performanta si excelenta in cercetarea postdoctorala in domeniul stiintelor economice din Romania</t>
  </si>
  <si>
    <t>POSDRU/89/1.5/S/59184</t>
  </si>
  <si>
    <t>Managementul comunicarii cu alumni pentru institutii de invatamant superior din Romania</t>
  </si>
  <si>
    <t>POSDRU/86/1.2/S/56283</t>
  </si>
  <si>
    <t>Acces real la piata muncii prin intreprinderea simulata</t>
  </si>
  <si>
    <t>POSDRU/90/2.1/S/63442</t>
  </si>
  <si>
    <t>Academia de antreprenoriat bazat pe cunoastere</t>
  </si>
  <si>
    <t>POSDRU/92/3.1/S/56330</t>
  </si>
  <si>
    <t>Sistem colaborativ integrat bazat pe cunostinte pentru imbunatatirea managementului universitatilor economice, in contextul noului Cadru National al Calificarilor din Invatamantul Superior</t>
  </si>
  <si>
    <t>POSDRU/86/1.2/S/58160</t>
  </si>
  <si>
    <t>Calitate si competente la standarde europene pentru personalul didactic din invatamantul superior in vederea cresterii competitivitatii scolii de economie din Romania</t>
  </si>
  <si>
    <t>POSDRU/86/1.2/S/53365</t>
  </si>
  <si>
    <t>PRAXIS – Buni practicieni in domniul economic, in tranzitie de la scoala la viata activa</t>
  </si>
  <si>
    <t>POSDRU/90/2.1/S/61477</t>
  </si>
  <si>
    <t>Practica studentilor economisti.Parteneriat interregional pe piata muncii intre universitati si mediul de afaceri - PRACTeam</t>
  </si>
  <si>
    <t>POSDRU/90/2.1/S/64150</t>
  </si>
  <si>
    <t>Practicantii de azi, profesionistii de maine ai televiziunilor</t>
  </si>
  <si>
    <t>POSDRU/90/2.1/S/62591</t>
  </si>
  <si>
    <t>Perfectionarea cadrelor didactice din invatamantul liceal care predau discipline economice</t>
  </si>
  <si>
    <t>POSDRU/87/1.3/S/63908</t>
  </si>
  <si>
    <t>Doctorat pentru o cariera in cercetarea economica interdisciplinara la nivel european (DOCCENT)</t>
  </si>
  <si>
    <t>POSDRU/107/1.5/S/77213</t>
  </si>
  <si>
    <t>Profesionalizarea carierei didactice – noi competente pentru actori ai schimbarilor in educatie din judetele Caras-Severin si Mehedinti</t>
  </si>
  <si>
    <t>POSDRU/87/1.3/S/62421</t>
  </si>
  <si>
    <t>Burse universitare in Romania prin Sprijin European pentru doctoranzi (Burse Doc)</t>
  </si>
  <si>
    <t>POSDRU/81/3.2/S/51296</t>
  </si>
  <si>
    <t>Schema inovativa de adaptabilitate si specializare SIAS</t>
  </si>
  <si>
    <t>POSDRU/86/1.2/S/59367</t>
  </si>
  <si>
    <t>Asigurarea calitatii invatamantului masteral internationalizat. Dezvoltarea cadrului national in vederea compatibilizarii cu spatiul european al invatamantului superior</t>
  </si>
  <si>
    <t>POSDRU/86/1.2/S/63252</t>
  </si>
  <si>
    <t>Dezvoltarea sistemului european de management al calificarilor universitare si valorificarea competentelor informale</t>
  </si>
  <si>
    <t>POSDRU/86/1.2/S/58717</t>
  </si>
  <si>
    <t>Definirea calificarii de psiholog si a descriptorilor sectoriali de invatare in vederea adaptarii programelor de master in psihologie la nevoile pietei muncii din Romania</t>
  </si>
  <si>
    <t>POSDRU/97/6.3/S/60759</t>
  </si>
  <si>
    <t>Scoala nationala a femeilor manager</t>
  </si>
  <si>
    <t>POSDRU/81/3.2/S/49461</t>
  </si>
  <si>
    <t>Program national de formare profesionala a specialistilor si intermediarilor din asigurari</t>
  </si>
  <si>
    <t>POSDRU/90/2.1/S/52839</t>
  </si>
  <si>
    <t>Program multiregional intergrat de stagii de practica pentru studenti in vederea cresterii gradului acestora de angajabilitate</t>
  </si>
  <si>
    <t>POSDRU/70/6.2/S/33488</t>
  </si>
  <si>
    <t>Revenirea fostilor detinuti pe piata muncii</t>
  </si>
  <si>
    <t>POSDRU/86/1.2/S/64075</t>
  </si>
  <si>
    <t>Universitatea pentru viitor in societatea comunicarii</t>
  </si>
  <si>
    <t>POSDRU/86/1.2/S/53849</t>
  </si>
  <si>
    <t>Aplicarea unui sistem de competente coerent cu cel european la nivelul masteratelor in domeniul analizei economice si evaluarii de active si afaceri</t>
  </si>
  <si>
    <t>POSDRU/86/1.2/S/61959</t>
  </si>
  <si>
    <t>Comunitatea universitara pentru managementul calitatii in invatamantul superior</t>
  </si>
  <si>
    <t>POSDRU/92/3.1/S/63922</t>
  </si>
  <si>
    <t>Dezvoltarea abilitatilor antreprenoriale si manageriale in zona IMM-urilor inovative pentru formarea si promovarea parteneriatelor nationale si transnationale</t>
  </si>
  <si>
    <t>POSDRU/96/6.2/S/62289</t>
  </si>
  <si>
    <t>BARRABARRIPEN- un model interregional de incluziune destinat femeilor rrome</t>
  </si>
  <si>
    <t>POSDRU/109/2.1/G/82776</t>
  </si>
  <si>
    <t>Dezvoltarea abilitatilor si competentelor practice prin intreprinderea simulata - SimBiz</t>
  </si>
  <si>
    <t>POSDRU/81/3.2/S/59730</t>
  </si>
  <si>
    <t>Formarea profesională specializată şi promovarea utilizării noilor tehnologii în scopul creşterii adaptabilităţii şi mobilităţii angajaţilor şi managerilor din IMM-urile din RD V VEST şi RD VI NORD-VEST</t>
  </si>
  <si>
    <t>POSDRU/86/1.2/S/53202</t>
  </si>
  <si>
    <t>Competente avansate profesionale si de cercetare – in managementului riscului international</t>
  </si>
  <si>
    <t>POSDRU/156/1.2/G/136372</t>
  </si>
  <si>
    <t>Inovarea educatiei universitare la nivelul ciclului de licenta a viitorilor specialisti economisti in management si administrarea afacerilor pt. dezvoltarea  durabila a organizatiilor din Ro in economia bazata pe cunoastere - INOVMAN</t>
  </si>
  <si>
    <t>POSDRU/156/1.2/G/141271</t>
  </si>
  <si>
    <t>Curiculla Moderna - educație continua si dialog permanent pentru cresterea competitivitatii si integrarii pe piata muncii (EDU4LIFE)</t>
  </si>
  <si>
    <t>POSDRU/156/1.2/G/133630</t>
  </si>
  <si>
    <t>Dezvolatarea programelor de studii univeristare si extinderea oportunitatilor de invatare pentru studenti si piata muncii</t>
  </si>
  <si>
    <t>POSDRU/156/1.2/G/141055</t>
  </si>
  <si>
    <t>Dezvoltarea si modernizarea curriculei in domeniul informaticii economice (DEZIE)</t>
  </si>
  <si>
    <t>POSDRU/156/1.2/G/137499</t>
  </si>
  <si>
    <t>Imbunatatirea programelor universitare de studii in domeniul administrarii afacerilor, contabilitatii si stiintelor juridice prin consultarea alumni</t>
  </si>
  <si>
    <t>POSDRU/156/1.2/G/140930</t>
  </si>
  <si>
    <t>Armonizare prin inovare în evaluarea cunostiintelor in domeniul de studii contabile</t>
  </si>
  <si>
    <t>POSDRU/156/1.2/G/133202</t>
  </si>
  <si>
    <t>Universitaria</t>
  </si>
  <si>
    <t>POSDRU/157/1.3/S/135590</t>
  </si>
  <si>
    <t>Cercetatori  competitivi pe plan european in domeniul stiintelor umaniste si socio-economice. Retea de cercetare multiregionala (CCPE)</t>
  </si>
  <si>
    <t>POSDRU/159/1.5/S/140863</t>
  </si>
  <si>
    <t>Burse universitare in Romania prin sprijin european pentru doctoranzi si postdoctoranzi (Burse DOC - POSTDOC)</t>
  </si>
  <si>
    <t>POSDRU/159/1.5/S/133255</t>
  </si>
  <si>
    <t>Programe doctorale si postdoctorale de excelenta pentru formarea de resurse umane inalt calificate pentru cercetare in domeniile Stiintele vietii, mediului si pamantului</t>
  </si>
  <si>
    <t>POSDRU/159/1.5/S/133391</t>
  </si>
  <si>
    <t>Programe doctorale si postdoctorale - suport pentru cresterea competitivitatii cercetarii in domeniul stiintelor exacte</t>
  </si>
  <si>
    <t>POSDRU/159/1.5/S/137750</t>
  </si>
  <si>
    <t>Tineri cercetători de succes - dezvoltare profesională în context interdisciplinar și internațional</t>
  </si>
  <si>
    <t>POSDRU/159/1.5/S/132400</t>
  </si>
  <si>
    <t>Performanță și excelență în cercetarea doctorală și postdoctorală în domeniul științelor economice din România</t>
  </si>
  <si>
    <t>POSDRU/159/1.5/S/142115</t>
  </si>
  <si>
    <t>POSDRU/159/1.5/S/134197</t>
  </si>
  <si>
    <t>Practica nu-i efemera, e un pas in cariera</t>
  </si>
  <si>
    <t>POSDRU/161/2.1/G/141118</t>
  </si>
  <si>
    <t>Incepe o cariera de succes</t>
  </si>
  <si>
    <t>POSDRU/161/2.1/G/141573</t>
  </si>
  <si>
    <t>Consilierea carierei si servicii de practica profesionala in psihologie</t>
  </si>
  <si>
    <t>POSDRU/161/2.1/G/136958</t>
  </si>
  <si>
    <t>Acces la o cariera de succes</t>
  </si>
  <si>
    <t>POSDRU/161/2.1/G/134815</t>
  </si>
  <si>
    <t>Dezvoltarea creativitatii si a capacitatii de inovare prin abordari interdisciplinare si facilitarea insertiei absolventilor pe piata muncii</t>
  </si>
  <si>
    <t>POSDRU/161/2.1/G/133468</t>
  </si>
  <si>
    <t>Studenţii de azi, profesioniştii de mâine</t>
  </si>
  <si>
    <t>POSDRU/161/2.1/G/137280</t>
  </si>
  <si>
    <t>Măsuri integrate de inserţie pe piaţa muncii pentru viitorii absolvenţi de învăţământ preuniversitar şi superior  din Regiunea de Vest</t>
  </si>
  <si>
    <t>POSDRU/161/2.1/G/132545</t>
  </si>
  <si>
    <t>Ai dreptul la o cariera de succes! Stagii de practica pentru profesiile din domeniul juridic</t>
  </si>
  <si>
    <t>POSDRU/161/2.1/G/139716</t>
  </si>
  <si>
    <t>Masuri inovatoare pentru facilitarea accesului pe piata muncii a grupurilor vulnerabile</t>
  </si>
  <si>
    <t>POSDRU/165/6.2/S/143062</t>
  </si>
  <si>
    <t>Formarea profesionala - cheia pentru dezvoltarea in cariera si un acces egal pe piata muncii</t>
  </si>
  <si>
    <t>POSDRU/144/6.3/S/135227</t>
  </si>
  <si>
    <t>Ghidarea performanta a studentilor la inceput de cariera- GPS in cariera!</t>
  </si>
  <si>
    <t xml:space="preserve">POSDRU/189/2.1/G/156385 </t>
  </si>
  <si>
    <t>TOTAL  Proiecte finantate prin Programul Operational Sectorial Dezvoltarea Resurselor Umane 2007-2013 (POSDRU)</t>
  </si>
  <si>
    <t xml:space="preserve">Proiecte Finantate prin Programul de Cooperare Transfrontaliera Romania - Serbia </t>
  </si>
  <si>
    <t>Improving the capability of the Romanian and Serbian authorities of reacting in emergency situation</t>
  </si>
  <si>
    <t>IPA CROSS 
MIS-ETC 1403</t>
  </si>
  <si>
    <t>IPA</t>
  </si>
  <si>
    <t>Sustaining Excellence in Mathematical Education</t>
  </si>
  <si>
    <t>IPA CROSS 
MIS-ETC 1411</t>
  </si>
  <si>
    <t>Living Heritage – an unlimited resource for tourism development</t>
  </si>
  <si>
    <t>IPA CROSS 
MIS-ETC 1324</t>
  </si>
  <si>
    <t xml:space="preserve">Total proiecte Finantate prin Programul de Cooperare Transfrontaliera Romania - Serbia </t>
  </si>
  <si>
    <t>Proiecte Ro-Hu - PROGRAMUL INTERREG V-A ROMÂNIA-UNGARIA</t>
  </si>
  <si>
    <t>Development of complex Geochronological and Geophysical laboratories for saving Archaeological heritage and solving Environmental problems</t>
  </si>
  <si>
    <t>HURO/1101/126/2.2.1</t>
  </si>
  <si>
    <t>HU-RO</t>
  </si>
  <si>
    <t>Examinarea abilitatilor de inovare si cooperare si a posibilitatilor de cooperare a intreprinderilor mici si mijlocii in regiunea transfrontaliera Ungaria-Romania(InCoDeSME)</t>
  </si>
  <si>
    <t>HURO/0801-/087</t>
  </si>
  <si>
    <t>Network to overcome common issues with regard to the management of water quality in the cross-border area (NETECOWAT)</t>
  </si>
  <si>
    <t>HURO/0901/126/2.2.3</t>
  </si>
  <si>
    <t xml:space="preserve">Environment  Protection complex Molecular Database (EPCOMDA) </t>
  </si>
  <si>
    <t xml:space="preserve">HURO/0901/037/2.2.2 </t>
  </si>
  <si>
    <t>Growing new  entrepreneurs (NEWENTERPRISING)</t>
  </si>
  <si>
    <t>HURO/0901/158/2.3.1</t>
  </si>
  <si>
    <t xml:space="preserve">Research of past,  present and FUTUre Lower MARos/Mures  River in relation with  climatic change and  sustainable human  management  (FUTUMAR) </t>
  </si>
  <si>
    <t>HURO/0901/266/2.2.2</t>
  </si>
  <si>
    <t>Scientific and Entrepreneurial  Training for Young  Students (SCIENTSTU)</t>
  </si>
  <si>
    <t>HURO/0901/114/2.3.1</t>
  </si>
  <si>
    <t>Cross-Border Research on Functional Analysis and Differential Equations (REFADE)</t>
  </si>
  <si>
    <t>HURO/1001/264/2.2.3</t>
  </si>
  <si>
    <t>Obesity and cardiometabolic risk management in students from Timisoara and Szeged University Centers (RISKRED)</t>
  </si>
  <si>
    <t>HURO/1001/116/2.4.2</t>
  </si>
  <si>
    <t>New teaching programme in 3D design with the cooperation between the Szegedi Tudomanyegyetem and the West University of Timisoara (3D Design)</t>
  </si>
  <si>
    <t>HURO/1001/263/2.3.1</t>
  </si>
  <si>
    <t>Cross Border Doctoral programs Consortium</t>
  </si>
  <si>
    <t>HURO/1001/184/2.3.1</t>
  </si>
  <si>
    <t>Total proiecte Ro-Hu - PROGRAMUL INTERREG V-A ROMÂNIA-UNGARIA</t>
  </si>
  <si>
    <t xml:space="preserve">Proiecte finantate  din fonduri internaționale </t>
  </si>
  <si>
    <t>Grundtvig 4 Project: Equipe</t>
  </si>
  <si>
    <t>100291-CP-1-2002-1-PT-GRUNDTVIG-G4</t>
  </si>
  <si>
    <t>Internațional</t>
  </si>
  <si>
    <t>Jean Monet</t>
  </si>
  <si>
    <t>2003-3385/001-001 JMO JMO</t>
  </si>
  <si>
    <t>Suport pentru imbunatatirea si implementarea legislatiei si jurisprudentei in materie de faliment , Romania</t>
  </si>
  <si>
    <t>Contract nr. 5854/16.06.2004</t>
  </si>
  <si>
    <t>Socrates/Erasmus European Master in Adult Education (EMAE)</t>
  </si>
  <si>
    <t>220383-IC-1-2003-1-DE-ERASMUS-PROGUC-1</t>
  </si>
  <si>
    <t>Erasmus</t>
  </si>
  <si>
    <t>Contract nr. 47/19.07.2005</t>
  </si>
  <si>
    <t>Contract nr. 95/25.07.2005</t>
  </si>
  <si>
    <t>SOCRATES</t>
  </si>
  <si>
    <t>225932-CP-1-2005-1BE-GRUNDTVIG-G4PP</t>
  </si>
  <si>
    <t>VISP - VIRTUAL ISP</t>
  </si>
  <si>
    <t>FP6-IST-2004-027178</t>
  </si>
  <si>
    <t>Leonardo Da Vinci</t>
  </si>
  <si>
    <t>RO/2004/PL93039/S</t>
  </si>
  <si>
    <t>Contract nr. 228/07.09.2006</t>
  </si>
  <si>
    <t>Contract nr. 389/03.04.2007</t>
  </si>
  <si>
    <t>Program de invatare pe tot parcursul</t>
  </si>
  <si>
    <t>Contract nr. 56/21.08.2007</t>
  </si>
  <si>
    <t>Contract nr. 294/05.01.2007</t>
  </si>
  <si>
    <t>Contract nr. 64/21.09.2007</t>
  </si>
  <si>
    <t>EGEE II – Enabling Grids for E-sciencE</t>
  </si>
  <si>
    <t>Contract nr.  222/14.09.2007</t>
  </si>
  <si>
    <t>Community Health Management to Enhance Behaviour</t>
  </si>
  <si>
    <t>134240-LLP-1-2007-DE-GRUNDTVIG-GMP</t>
  </si>
  <si>
    <t>ESA-GHISEO: Grid Services la Cerere pentru Scoli Superioare si Exercitii in Observarea Pamantului</t>
  </si>
  <si>
    <t>AGENTIA SPATIALA EUROPEANA</t>
  </si>
  <si>
    <t>Efficacity and safety of the antihistamine V0114CP 2.5 mg in the treatment of seasonal allergic rhitnitis. Randomised, double-blind, three arm parallel group study including placebo and active control arm (desloratadine 5mg)</t>
  </si>
  <si>
    <t>Contract GDA/002</t>
  </si>
  <si>
    <t>European Integrated Master Degree in Consumer Issues</t>
  </si>
  <si>
    <t>SANCO/2007/B1/007-1</t>
  </si>
  <si>
    <t>MOTIVATED IDENTITY CONSTRUCTION IN CULTURAL CONTEXT</t>
  </si>
  <si>
    <t>RES-062-23-1300</t>
  </si>
  <si>
    <t xml:space="preserve">FLEXIBLE PROFESSIONALISATION PATHWAYS FOR ADULT EDUCATOR </t>
  </si>
  <si>
    <t>DE/08/LLP-LdV/TOI/147187</t>
  </si>
  <si>
    <t>VIT and E-learning - Innovative Integration of Video Interaction Training and E-learning in an European Context</t>
  </si>
  <si>
    <t>NL/06/B/F/PP-157624</t>
  </si>
  <si>
    <t>Senior/innen in Europa lernen in</t>
  </si>
  <si>
    <t>141961-LLP-1-2008-1-DE-GRUNDTVIG-GMP</t>
  </si>
  <si>
    <t xml:space="preserve">LEARN ABOUT FINDING JOBS FROM DIGITAL STORYTELLING - L@JOST   </t>
  </si>
  <si>
    <t>143429-LLP-1-2008-1-RO-KA3-KA3MP</t>
  </si>
  <si>
    <t xml:space="preserve">POLITICS REVISITED : THINKING CRUDELY – EUROPOL </t>
  </si>
  <si>
    <t>142272-RO-2008-GRUNDTVIG</t>
  </si>
  <si>
    <t>ROMANIAN –UKRAINE RESEARCH PROJECT IN MATHEMATICAL KNOWLEDGE MANAGEMENT (ROUKNOW), KIEV NATIONAL TARAS SHEVCHENKO UNIVERSITY FACULTY OF CYBERNETICS</t>
  </si>
  <si>
    <t>FP7</t>
  </si>
  <si>
    <t>„Shrink Smart-Governance of Shrinkage within European context”</t>
  </si>
  <si>
    <t>Proiect FP7-SSH-2007-1</t>
  </si>
  <si>
    <t xml:space="preserve">Program de invatare pe tot parcursul vietii </t>
  </si>
  <si>
    <t xml:space="preserve">LLP ERASMUS / 09-ERA-RO TIMISOA01 ; contract nr. 56/31.05.2009 </t>
  </si>
  <si>
    <t>Învăţarea pe tot parcursul vieţii</t>
  </si>
  <si>
    <t>LLP ERASMUS / 10-EIP-RO TIMISOA01</t>
  </si>
  <si>
    <t>HP SEE: High Performance Computing Infrastructure for South East Europe’s Research Communities</t>
  </si>
  <si>
    <t>Contract nr.7160/01.09.2010</t>
  </si>
  <si>
    <t>I.N.S.P.I.R.E. – Innovative Network for Security and Prevention through Inter-Regional Euro-cooperation</t>
  </si>
  <si>
    <t>HOME/2009/ISEC/AG/036</t>
  </si>
  <si>
    <t>PROGRAM SECTORIAL  ERASMUS.ACTIUNEA MOBILITATI 2011-2012</t>
  </si>
  <si>
    <t>Contract nr. 62/31.05.2011</t>
  </si>
  <si>
    <t xml:space="preserve">JUST/2009/dap3/a6/1225 </t>
  </si>
  <si>
    <t xml:space="preserve">Let’s train the little EU </t>
  </si>
  <si>
    <t xml:space="preserve">JEAN MONNET TEACHING MODULE </t>
  </si>
  <si>
    <t>Proiect nr.175742-LLP-1-RO-AJM-MO</t>
  </si>
  <si>
    <t>PROGRAM SECTORIAL  ERASMUS.ACTIUNEA MOBILITATI 2012-2013</t>
  </si>
  <si>
    <t>Contract nr.65/31.05.2012</t>
  </si>
  <si>
    <t>EAST FILM: Rethinking Eastern European Cinema in a Post-Cold War Ideological Framework</t>
  </si>
  <si>
    <t>FP7 Marie Curie Reintegration Grants/FP7 nr. 256256</t>
  </si>
  <si>
    <t>Towards opportunities for disadvantaged</t>
  </si>
  <si>
    <t xml:space="preserve">COMENIUS /510609-2010-LLP-NO-COMENIUS CM </t>
  </si>
  <si>
    <t>Low Carbon at Work: Modelling agents and organizations to achieve transition to a low carbon Europe (LOCAW)</t>
  </si>
  <si>
    <t xml:space="preserve">FP 7 ENV 265155 </t>
  </si>
  <si>
    <t>ALLin HE: Acces to Lifelong Learning in Higher Education</t>
  </si>
  <si>
    <t>ALLinHE 517978-LLP-1-2011-1-NL-ERASMUS-ESIN</t>
  </si>
  <si>
    <t>CreativeCH – Creative Cooperations in Cultural Heritage</t>
  </si>
  <si>
    <r>
      <rPr>
        <sz val="10"/>
        <color theme="1"/>
        <rFont val="Calibri"/>
        <family val="2"/>
        <charset val="238"/>
      </rPr>
      <t xml:space="preserve"> </t>
    </r>
    <r>
      <rPr>
        <sz val="11"/>
        <color theme="1"/>
        <rFont val="Calibri"/>
        <family val="2"/>
        <charset val="238"/>
      </rPr>
      <t>FP7 Contract nr. 289076</t>
    </r>
  </si>
  <si>
    <t>EU Citizen: Instructional Strategies for teaching in primary school, Evidence Based</t>
  </si>
  <si>
    <t xml:space="preserve">542773-LLP-1-2013-1-RO-AJM-ICS </t>
  </si>
  <si>
    <t>HOST: High Performance Computing Service Centre</t>
  </si>
  <si>
    <t>FP7-REGPOT-2011-1
Contract de Grant nr. 284595</t>
  </si>
  <si>
    <t>European Study and research in Adult Education and Learning/ESRALE</t>
  </si>
  <si>
    <t>540117-LLP-1-2013-3969/001-001</t>
  </si>
  <si>
    <t>Parteneriate pentru invatare - GRUNDTVIG</t>
  </si>
  <si>
    <t>GRU-13-C-LP-98-TM-RO</t>
  </si>
  <si>
    <t>GLAMURS</t>
  </si>
  <si>
    <t>FP7-SSH-2013-1
613420</t>
  </si>
  <si>
    <t>Shared Standards for Open Data and Public Sector Information</t>
  </si>
  <si>
    <t>Nr. 621012</t>
  </si>
  <si>
    <t>EEA Financial Mechanism 2009-2014, Measure 3 -Inter institutional cooperation projects</t>
  </si>
  <si>
    <t>Contract nr. 2/21.07.2014</t>
  </si>
  <si>
    <t>SEE Programul de burse RO-015</t>
  </si>
  <si>
    <t>Contract nr. 13/17.07.2014</t>
  </si>
  <si>
    <t>13SEE 2009-2014 Cercetare in Sectoare Prioritare</t>
  </si>
  <si>
    <t>13SEE/30.06.2014</t>
  </si>
  <si>
    <t>Total sume finanțate de către  UVT</t>
  </si>
  <si>
    <t>POSDRU/107/1.5/S/78421</t>
  </si>
  <si>
    <t>Burse universitare în România prin sprijinul European pentru doctoranzi</t>
  </si>
  <si>
    <t>Promoting the Resilience of Youth delinqvent - PRYD</t>
  </si>
  <si>
    <t>Nr.5124                                  COD SMIS 50328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</si>
</sst>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Arial"/>
      <scheme val="minor"/>
    </font>
    <font>
      <sz val="10"/>
      <color theme="1"/>
      <name val="Calibri"/>
      <family val="2"/>
      <charset val="238"/>
    </font>
    <font>
      <b/>
      <sz val="10"/>
      <color theme="1"/>
      <name val="Calibri"/>
      <family val="2"/>
      <charset val="238"/>
    </font>
    <font>
      <sz val="11"/>
      <name val="Arial"/>
      <family val="2"/>
      <charset val="238"/>
    </font>
    <font>
      <b/>
      <sz val="10"/>
      <color rgb="FFFF0000"/>
      <name val="Calibri"/>
      <family val="2"/>
      <charset val="238"/>
    </font>
    <font>
      <sz val="10"/>
      <color rgb="FFFF0000"/>
      <name val="Calibri"/>
      <family val="2"/>
      <charset val="238"/>
    </font>
    <font>
      <sz val="11"/>
      <color theme="1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4" fontId="2" fillId="0" borderId="6" xfId="0" applyNumberFormat="1" applyFont="1" applyBorder="1" applyAlignment="1">
      <alignment horizontal="center" vertical="center" wrapText="1"/>
    </xf>
    <xf numFmtId="4" fontId="2" fillId="0" borderId="7" xfId="0" applyNumberFormat="1" applyFont="1" applyBorder="1" applyAlignment="1">
      <alignment horizontal="center" vertical="center" wrapText="1"/>
    </xf>
    <xf numFmtId="4" fontId="1" fillId="0" borderId="4" xfId="0" applyNumberFormat="1" applyFont="1" applyBorder="1" applyAlignment="1">
      <alignment horizontal="center" vertical="center"/>
    </xf>
    <xf numFmtId="4" fontId="4" fillId="3" borderId="4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3" fillId="0" borderId="2" xfId="0" applyFont="1" applyBorder="1"/>
    <xf numFmtId="0" fontId="3" fillId="0" borderId="3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115300" cy="9239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tabSelected="1" topLeftCell="A166" workbookViewId="0">
      <selection activeCell="C184" sqref="C184"/>
    </sheetView>
  </sheetViews>
  <sheetFormatPr defaultColWidth="12.59765625" defaultRowHeight="15" customHeight="1" x14ac:dyDescent="0.25"/>
  <cols>
    <col min="1" max="1" width="3.59765625" customWidth="1"/>
    <col min="2" max="2" width="51.8984375" customWidth="1"/>
    <col min="3" max="3" width="22.09765625" customWidth="1"/>
    <col min="4" max="4" width="15.19921875" customWidth="1"/>
    <col min="5" max="5" width="13.59765625" customWidth="1"/>
    <col min="6" max="6" width="12.59765625" customWidth="1"/>
  </cols>
  <sheetData>
    <row r="1" spans="1:24" ht="14.25" customHeight="1" x14ac:dyDescent="0.25">
      <c r="A1" s="32"/>
      <c r="B1" s="33"/>
      <c r="C1" s="33"/>
      <c r="D1" s="33"/>
      <c r="E1" s="3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4.25" customHeight="1" x14ac:dyDescent="0.25">
      <c r="A2" s="33"/>
      <c r="B2" s="33"/>
      <c r="C2" s="33"/>
      <c r="D2" s="33"/>
      <c r="E2" s="3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4.25" customHeight="1" x14ac:dyDescent="0.25">
      <c r="A3" s="33"/>
      <c r="B3" s="33"/>
      <c r="C3" s="33"/>
      <c r="D3" s="33"/>
      <c r="E3" s="3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4.25" customHeight="1" x14ac:dyDescent="0.25">
      <c r="A4" s="33"/>
      <c r="B4" s="33"/>
      <c r="C4" s="33"/>
      <c r="D4" s="33"/>
      <c r="E4" s="3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4.25" customHeight="1" x14ac:dyDescent="0.25">
      <c r="A5" s="33"/>
      <c r="B5" s="33"/>
      <c r="C5" s="33"/>
      <c r="D5" s="33"/>
      <c r="E5" s="3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4.25" customHeight="1" x14ac:dyDescent="0.25">
      <c r="A6" s="33"/>
      <c r="B6" s="33"/>
      <c r="C6" s="33"/>
      <c r="D6" s="33"/>
      <c r="E6" s="3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8" x14ac:dyDescent="0.25">
      <c r="A7" s="34" t="s">
        <v>0</v>
      </c>
      <c r="B7" s="35"/>
      <c r="C7" s="35"/>
      <c r="D7" s="35"/>
      <c r="E7" s="36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69" x14ac:dyDescent="0.25">
      <c r="A8" s="2" t="s">
        <v>1</v>
      </c>
      <c r="B8" s="2" t="s">
        <v>2</v>
      </c>
      <c r="C8" s="2" t="s">
        <v>3</v>
      </c>
      <c r="D8" s="3" t="s">
        <v>4</v>
      </c>
      <c r="E8" s="4" t="s">
        <v>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4.25" customHeight="1" x14ac:dyDescent="0.25">
      <c r="A9" s="5"/>
      <c r="B9" s="2"/>
      <c r="C9" s="5"/>
      <c r="D9" s="6"/>
      <c r="E9" s="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4.25" customHeight="1" x14ac:dyDescent="0.25">
      <c r="A10" s="29" t="s">
        <v>6</v>
      </c>
      <c r="B10" s="30"/>
      <c r="C10" s="30"/>
      <c r="D10" s="30"/>
      <c r="E10" s="3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41.4" x14ac:dyDescent="0.25">
      <c r="A11" s="7">
        <v>1</v>
      </c>
      <c r="B11" s="8" t="s">
        <v>7</v>
      </c>
      <c r="C11" s="8" t="s">
        <v>8</v>
      </c>
      <c r="D11" s="9" t="s">
        <v>9</v>
      </c>
      <c r="E11" s="27">
        <v>1911601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28.2" customHeight="1" x14ac:dyDescent="0.25">
      <c r="A12" s="7">
        <v>2</v>
      </c>
      <c r="B12" s="8" t="s">
        <v>10</v>
      </c>
      <c r="C12" s="8" t="s">
        <v>11</v>
      </c>
      <c r="D12" s="9" t="s">
        <v>9</v>
      </c>
      <c r="E12" s="27">
        <v>302600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40.950000000000003" customHeight="1" x14ac:dyDescent="0.25">
      <c r="A13" s="7">
        <v>3</v>
      </c>
      <c r="B13" s="8" t="s">
        <v>12</v>
      </c>
      <c r="C13" s="8" t="s">
        <v>13</v>
      </c>
      <c r="D13" s="9" t="s">
        <v>9</v>
      </c>
      <c r="E13" s="27">
        <v>945250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28.95" customHeight="1" x14ac:dyDescent="0.25">
      <c r="A14" s="7">
        <v>4</v>
      </c>
      <c r="B14" s="8" t="s">
        <v>14</v>
      </c>
      <c r="C14" s="8" t="s">
        <v>15</v>
      </c>
      <c r="D14" s="9" t="s">
        <v>9</v>
      </c>
      <c r="E14" s="27">
        <v>46989000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27.6" x14ac:dyDescent="0.25">
      <c r="A15" s="7">
        <v>5</v>
      </c>
      <c r="B15" s="8" t="s">
        <v>16</v>
      </c>
      <c r="C15" s="8" t="s">
        <v>307</v>
      </c>
      <c r="D15" s="9" t="s">
        <v>9</v>
      </c>
      <c r="E15" s="27">
        <v>4403748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4.25" customHeight="1" x14ac:dyDescent="0.25">
      <c r="A16" s="29" t="s">
        <v>17</v>
      </c>
      <c r="B16" s="30"/>
      <c r="C16" s="30"/>
      <c r="D16" s="31"/>
      <c r="E16" s="28">
        <f>SUM(E11:E15)</f>
        <v>54552199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4.25" customHeight="1" x14ac:dyDescent="0.25">
      <c r="A17" s="10"/>
      <c r="B17" s="11"/>
      <c r="C17" s="12"/>
      <c r="D17" s="12"/>
      <c r="E17" s="1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4.25" customHeight="1" x14ac:dyDescent="0.25">
      <c r="A18" s="29" t="s">
        <v>18</v>
      </c>
      <c r="B18" s="30"/>
      <c r="C18" s="30"/>
      <c r="D18" s="30"/>
      <c r="E18" s="3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27.6" x14ac:dyDescent="0.25">
      <c r="A19" s="7">
        <v>1</v>
      </c>
      <c r="B19" s="8" t="s">
        <v>19</v>
      </c>
      <c r="C19" s="8" t="s">
        <v>20</v>
      </c>
      <c r="D19" s="8" t="s">
        <v>21</v>
      </c>
      <c r="E19" s="27">
        <v>1715632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27.6" x14ac:dyDescent="0.25">
      <c r="A20" s="7">
        <v>2</v>
      </c>
      <c r="B20" s="8" t="s">
        <v>22</v>
      </c>
      <c r="C20" s="8" t="s">
        <v>23</v>
      </c>
      <c r="D20" s="8" t="s">
        <v>21</v>
      </c>
      <c r="E20" s="27">
        <v>338918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27.6" x14ac:dyDescent="0.25">
      <c r="A21" s="7">
        <v>3</v>
      </c>
      <c r="B21" s="8" t="s">
        <v>24</v>
      </c>
      <c r="C21" s="8" t="s">
        <v>25</v>
      </c>
      <c r="D21" s="8" t="s">
        <v>21</v>
      </c>
      <c r="E21" s="27">
        <v>409796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27.6" x14ac:dyDescent="0.25">
      <c r="A22" s="7">
        <v>4</v>
      </c>
      <c r="B22" s="8" t="s">
        <v>26</v>
      </c>
      <c r="C22" s="8" t="s">
        <v>27</v>
      </c>
      <c r="D22" s="8" t="s">
        <v>21</v>
      </c>
      <c r="E22" s="27">
        <v>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55.2" x14ac:dyDescent="0.25">
      <c r="A23" s="7">
        <v>5</v>
      </c>
      <c r="B23" s="8" t="s">
        <v>28</v>
      </c>
      <c r="C23" s="8" t="s">
        <v>29</v>
      </c>
      <c r="D23" s="8" t="s">
        <v>21</v>
      </c>
      <c r="E23" s="27">
        <v>721500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27.6" x14ac:dyDescent="0.25">
      <c r="A24" s="7">
        <v>6</v>
      </c>
      <c r="B24" s="8" t="s">
        <v>30</v>
      </c>
      <c r="C24" s="8" t="s">
        <v>31</v>
      </c>
      <c r="D24" s="8" t="s">
        <v>21</v>
      </c>
      <c r="E24" s="27">
        <v>125000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27.6" x14ac:dyDescent="0.25">
      <c r="A25" s="7">
        <v>7</v>
      </c>
      <c r="B25" s="8" t="s">
        <v>32</v>
      </c>
      <c r="C25" s="8" t="s">
        <v>33</v>
      </c>
      <c r="D25" s="8" t="s">
        <v>21</v>
      </c>
      <c r="E25" s="27">
        <v>363900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41.4" x14ac:dyDescent="0.25">
      <c r="A26" s="7">
        <v>8</v>
      </c>
      <c r="B26" s="8" t="s">
        <v>34</v>
      </c>
      <c r="C26" s="8" t="s">
        <v>35</v>
      </c>
      <c r="D26" s="8" t="s">
        <v>21</v>
      </c>
      <c r="E26" s="27">
        <v>1767587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3.8" x14ac:dyDescent="0.25">
      <c r="A27" s="7">
        <v>9</v>
      </c>
      <c r="B27" s="8" t="s">
        <v>36</v>
      </c>
      <c r="C27" s="8" t="s">
        <v>37</v>
      </c>
      <c r="D27" s="8" t="s">
        <v>21</v>
      </c>
      <c r="E27" s="27">
        <v>1394678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27.6" x14ac:dyDescent="0.25">
      <c r="A28" s="7">
        <v>10</v>
      </c>
      <c r="B28" s="8" t="s">
        <v>38</v>
      </c>
      <c r="C28" s="8" t="s">
        <v>39</v>
      </c>
      <c r="D28" s="8" t="s">
        <v>21</v>
      </c>
      <c r="E28" s="27">
        <v>1765107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3.8" x14ac:dyDescent="0.25">
      <c r="A29" s="7">
        <v>11</v>
      </c>
      <c r="B29" s="8" t="s">
        <v>40</v>
      </c>
      <c r="C29" s="8" t="s">
        <v>41</v>
      </c>
      <c r="D29" s="8" t="s">
        <v>21</v>
      </c>
      <c r="E29" s="27">
        <v>1849900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27.6" x14ac:dyDescent="0.25">
      <c r="A30" s="7">
        <v>12</v>
      </c>
      <c r="B30" s="8" t="s">
        <v>42</v>
      </c>
      <c r="C30" s="8" t="s">
        <v>43</v>
      </c>
      <c r="D30" s="8" t="s">
        <v>21</v>
      </c>
      <c r="E30" s="27">
        <v>5486694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41.4" x14ac:dyDescent="0.25">
      <c r="A31" s="7">
        <v>13</v>
      </c>
      <c r="B31" s="8" t="s">
        <v>44</v>
      </c>
      <c r="C31" s="8" t="s">
        <v>45</v>
      </c>
      <c r="D31" s="8" t="s">
        <v>21</v>
      </c>
      <c r="E31" s="27">
        <v>3042900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27.6" x14ac:dyDescent="0.25">
      <c r="A32" s="7">
        <v>14</v>
      </c>
      <c r="B32" s="8" t="s">
        <v>46</v>
      </c>
      <c r="C32" s="8" t="s">
        <v>47</v>
      </c>
      <c r="D32" s="8" t="s">
        <v>21</v>
      </c>
      <c r="E32" s="27">
        <v>2709025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3.8" x14ac:dyDescent="0.25">
      <c r="A33" s="7">
        <v>15</v>
      </c>
      <c r="B33" s="8" t="s">
        <v>48</v>
      </c>
      <c r="C33" s="8" t="s">
        <v>49</v>
      </c>
      <c r="D33" s="8" t="s">
        <v>21</v>
      </c>
      <c r="E33" s="27">
        <v>36000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3.8" x14ac:dyDescent="0.25">
      <c r="A34" s="7">
        <v>16</v>
      </c>
      <c r="B34" s="8" t="s">
        <v>50</v>
      </c>
      <c r="C34" s="8" t="s">
        <v>51</v>
      </c>
      <c r="D34" s="8" t="s">
        <v>21</v>
      </c>
      <c r="E34" s="27">
        <v>1847102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41.4" x14ac:dyDescent="0.25">
      <c r="A35" s="7">
        <v>17</v>
      </c>
      <c r="B35" s="8" t="s">
        <v>52</v>
      </c>
      <c r="C35" s="8" t="s">
        <v>53</v>
      </c>
      <c r="D35" s="8" t="s">
        <v>21</v>
      </c>
      <c r="E35" s="27">
        <v>5019096.16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3.8" x14ac:dyDescent="0.25">
      <c r="A36" s="7">
        <v>18</v>
      </c>
      <c r="B36" s="8" t="s">
        <v>54</v>
      </c>
      <c r="C36" s="8" t="s">
        <v>55</v>
      </c>
      <c r="D36" s="8" t="s">
        <v>21</v>
      </c>
      <c r="E36" s="27">
        <v>2645710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4.25" customHeight="1" x14ac:dyDescent="0.25">
      <c r="A37" s="7">
        <v>19</v>
      </c>
      <c r="B37" s="8" t="s">
        <v>56</v>
      </c>
      <c r="C37" s="8" t="s">
        <v>57</v>
      </c>
      <c r="D37" s="8" t="s">
        <v>21</v>
      </c>
      <c r="E37" s="27">
        <v>10367299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27.6" x14ac:dyDescent="0.25">
      <c r="A38" s="7">
        <v>20</v>
      </c>
      <c r="B38" s="8" t="s">
        <v>58</v>
      </c>
      <c r="C38" s="8" t="s">
        <v>59</v>
      </c>
      <c r="D38" s="8" t="s">
        <v>21</v>
      </c>
      <c r="E38" s="27">
        <v>5432710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27.6" x14ac:dyDescent="0.25">
      <c r="A39" s="7">
        <v>21</v>
      </c>
      <c r="B39" s="8" t="s">
        <v>60</v>
      </c>
      <c r="C39" s="8" t="s">
        <v>61</v>
      </c>
      <c r="D39" s="8" t="s">
        <v>21</v>
      </c>
      <c r="E39" s="27">
        <v>18688874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41.4" x14ac:dyDescent="0.25">
      <c r="A40" s="7">
        <v>22</v>
      </c>
      <c r="B40" s="8" t="s">
        <v>62</v>
      </c>
      <c r="C40" s="8" t="s">
        <v>63</v>
      </c>
      <c r="D40" s="8" t="s">
        <v>21</v>
      </c>
      <c r="E40" s="27">
        <v>740000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27.6" x14ac:dyDescent="0.25">
      <c r="A41" s="7">
        <v>23</v>
      </c>
      <c r="B41" s="8" t="s">
        <v>64</v>
      </c>
      <c r="C41" s="8" t="s">
        <v>65</v>
      </c>
      <c r="D41" s="8" t="s">
        <v>21</v>
      </c>
      <c r="E41" s="27">
        <v>20736126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27.6" x14ac:dyDescent="0.25">
      <c r="A42" s="7">
        <v>24</v>
      </c>
      <c r="B42" s="8" t="s">
        <v>66</v>
      </c>
      <c r="C42" s="8" t="s">
        <v>67</v>
      </c>
      <c r="D42" s="8" t="s">
        <v>21</v>
      </c>
      <c r="E42" s="27">
        <v>749364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27.6" x14ac:dyDescent="0.25">
      <c r="A43" s="7">
        <v>25</v>
      </c>
      <c r="B43" s="8" t="s">
        <v>68</v>
      </c>
      <c r="C43" s="8" t="s">
        <v>69</v>
      </c>
      <c r="D43" s="8" t="s">
        <v>21</v>
      </c>
      <c r="E43" s="27">
        <v>1350874.9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8" x14ac:dyDescent="0.25">
      <c r="A44" s="7">
        <v>26</v>
      </c>
      <c r="B44" s="8" t="s">
        <v>70</v>
      </c>
      <c r="C44" s="8" t="s">
        <v>71</v>
      </c>
      <c r="D44" s="8" t="s">
        <v>21</v>
      </c>
      <c r="E44" s="27">
        <v>1292500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4.25" customHeight="1" x14ac:dyDescent="0.25">
      <c r="A45" s="7">
        <v>27</v>
      </c>
      <c r="B45" s="8" t="s">
        <v>72</v>
      </c>
      <c r="C45" s="8" t="s">
        <v>73</v>
      </c>
      <c r="D45" s="8" t="s">
        <v>21</v>
      </c>
      <c r="E45" s="27">
        <v>1474000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41.4" x14ac:dyDescent="0.25">
      <c r="A46" s="7">
        <v>28</v>
      </c>
      <c r="B46" s="8" t="s">
        <v>74</v>
      </c>
      <c r="C46" s="8" t="s">
        <v>75</v>
      </c>
      <c r="D46" s="8" t="s">
        <v>21</v>
      </c>
      <c r="E46" s="27">
        <v>523537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41.4" x14ac:dyDescent="0.25">
      <c r="A47" s="7">
        <v>29</v>
      </c>
      <c r="B47" s="8" t="s">
        <v>76</v>
      </c>
      <c r="C47" s="8" t="s">
        <v>77</v>
      </c>
      <c r="D47" s="8" t="s">
        <v>21</v>
      </c>
      <c r="E47" s="27">
        <v>3799468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27.6" x14ac:dyDescent="0.25">
      <c r="A48" s="7">
        <v>30</v>
      </c>
      <c r="B48" s="8" t="s">
        <v>78</v>
      </c>
      <c r="C48" s="8" t="s">
        <v>79</v>
      </c>
      <c r="D48" s="8" t="s">
        <v>21</v>
      </c>
      <c r="E48" s="27">
        <v>2478313.6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27.6" x14ac:dyDescent="0.25">
      <c r="A49" s="7">
        <v>31</v>
      </c>
      <c r="B49" s="8" t="s">
        <v>80</v>
      </c>
      <c r="C49" s="8" t="s">
        <v>81</v>
      </c>
      <c r="D49" s="8" t="s">
        <v>21</v>
      </c>
      <c r="E49" s="27">
        <v>4103330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8" x14ac:dyDescent="0.25">
      <c r="A50" s="7">
        <v>32</v>
      </c>
      <c r="B50" s="8" t="s">
        <v>82</v>
      </c>
      <c r="C50" s="8" t="s">
        <v>83</v>
      </c>
      <c r="D50" s="8" t="s">
        <v>21</v>
      </c>
      <c r="E50" s="27">
        <v>1783080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27.6" x14ac:dyDescent="0.25">
      <c r="A51" s="7">
        <v>33</v>
      </c>
      <c r="B51" s="8" t="s">
        <v>84</v>
      </c>
      <c r="C51" s="8" t="s">
        <v>85</v>
      </c>
      <c r="D51" s="8" t="s">
        <v>21</v>
      </c>
      <c r="E51" s="27">
        <v>2359795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27.6" x14ac:dyDescent="0.25">
      <c r="A52" s="7">
        <v>34</v>
      </c>
      <c r="B52" s="8" t="s">
        <v>86</v>
      </c>
      <c r="C52" s="8" t="s">
        <v>87</v>
      </c>
      <c r="D52" s="8" t="s">
        <v>21</v>
      </c>
      <c r="E52" s="27">
        <v>9703308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27.6" x14ac:dyDescent="0.25">
      <c r="A53" s="7">
        <v>35</v>
      </c>
      <c r="B53" s="8" t="s">
        <v>88</v>
      </c>
      <c r="C53" s="8" t="s">
        <v>89</v>
      </c>
      <c r="D53" s="8" t="s">
        <v>21</v>
      </c>
      <c r="E53" s="27">
        <v>5061290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4.25" customHeight="1" x14ac:dyDescent="0.25">
      <c r="A54" s="7">
        <v>36</v>
      </c>
      <c r="B54" s="8" t="s">
        <v>305</v>
      </c>
      <c r="C54" s="8" t="s">
        <v>304</v>
      </c>
      <c r="D54" s="8" t="s">
        <v>21</v>
      </c>
      <c r="E54" s="27">
        <v>4761148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27.6" x14ac:dyDescent="0.25">
      <c r="A55" s="7">
        <v>37</v>
      </c>
      <c r="B55" s="8" t="s">
        <v>90</v>
      </c>
      <c r="C55" s="8" t="s">
        <v>91</v>
      </c>
      <c r="D55" s="8" t="s">
        <v>21</v>
      </c>
      <c r="E55" s="27">
        <v>186906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8" x14ac:dyDescent="0.25">
      <c r="A56" s="7">
        <v>38</v>
      </c>
      <c r="B56" s="8" t="s">
        <v>92</v>
      </c>
      <c r="C56" s="8" t="s">
        <v>93</v>
      </c>
      <c r="D56" s="8" t="s">
        <v>21</v>
      </c>
      <c r="E56" s="27">
        <v>365286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41.4" x14ac:dyDescent="0.25">
      <c r="A57" s="7">
        <v>39</v>
      </c>
      <c r="B57" s="8" t="s">
        <v>94</v>
      </c>
      <c r="C57" s="8" t="s">
        <v>95</v>
      </c>
      <c r="D57" s="8" t="s">
        <v>21</v>
      </c>
      <c r="E57" s="27">
        <v>731000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27.6" x14ac:dyDescent="0.25">
      <c r="A58" s="7">
        <v>40</v>
      </c>
      <c r="B58" s="8" t="s">
        <v>96</v>
      </c>
      <c r="C58" s="8" t="s">
        <v>97</v>
      </c>
      <c r="D58" s="8" t="s">
        <v>21</v>
      </c>
      <c r="E58" s="27">
        <v>2529236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41.4" x14ac:dyDescent="0.25">
      <c r="A59" s="7">
        <v>41</v>
      </c>
      <c r="B59" s="8" t="s">
        <v>98</v>
      </c>
      <c r="C59" s="8" t="s">
        <v>99</v>
      </c>
      <c r="D59" s="8" t="s">
        <v>21</v>
      </c>
      <c r="E59" s="27">
        <v>108600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4.25" customHeight="1" x14ac:dyDescent="0.25">
      <c r="A60" s="7">
        <v>42</v>
      </c>
      <c r="B60" s="8" t="s">
        <v>100</v>
      </c>
      <c r="C60" s="8" t="s">
        <v>101</v>
      </c>
      <c r="D60" s="8" t="s">
        <v>21</v>
      </c>
      <c r="E60" s="27">
        <v>10708362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27.6" x14ac:dyDescent="0.25">
      <c r="A61" s="7">
        <v>43</v>
      </c>
      <c r="B61" s="8" t="s">
        <v>102</v>
      </c>
      <c r="C61" s="8" t="s">
        <v>103</v>
      </c>
      <c r="D61" s="8" t="s">
        <v>21</v>
      </c>
      <c r="E61" s="27">
        <v>0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27.6" x14ac:dyDescent="0.25">
      <c r="A62" s="7">
        <v>44</v>
      </c>
      <c r="B62" s="8" t="s">
        <v>104</v>
      </c>
      <c r="C62" s="8" t="s">
        <v>105</v>
      </c>
      <c r="D62" s="8" t="s">
        <v>21</v>
      </c>
      <c r="E62" s="27">
        <v>700000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4.25" customHeight="1" x14ac:dyDescent="0.25">
      <c r="A63" s="7">
        <v>45</v>
      </c>
      <c r="B63" s="8" t="s">
        <v>106</v>
      </c>
      <c r="C63" s="8" t="s">
        <v>107</v>
      </c>
      <c r="D63" s="8" t="s">
        <v>21</v>
      </c>
      <c r="E63" s="27">
        <v>1210418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3.8" x14ac:dyDescent="0.25">
      <c r="A64" s="7">
        <v>46</v>
      </c>
      <c r="B64" s="8" t="s">
        <v>108</v>
      </c>
      <c r="C64" s="8" t="s">
        <v>109</v>
      </c>
      <c r="D64" s="8" t="s">
        <v>21</v>
      </c>
      <c r="E64" s="27">
        <v>429426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41.4" x14ac:dyDescent="0.25">
      <c r="A65" s="7">
        <v>47</v>
      </c>
      <c r="B65" s="8" t="s">
        <v>110</v>
      </c>
      <c r="C65" s="8" t="s">
        <v>111</v>
      </c>
      <c r="D65" s="8" t="s">
        <v>21</v>
      </c>
      <c r="E65" s="27">
        <v>288517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27.6" x14ac:dyDescent="0.25">
      <c r="A66" s="7">
        <v>48</v>
      </c>
      <c r="B66" s="8" t="s">
        <v>112</v>
      </c>
      <c r="C66" s="8" t="s">
        <v>113</v>
      </c>
      <c r="D66" s="8" t="s">
        <v>21</v>
      </c>
      <c r="E66" s="27">
        <v>612246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41.4" x14ac:dyDescent="0.25">
      <c r="A67" s="7">
        <v>49</v>
      </c>
      <c r="B67" s="8" t="s">
        <v>114</v>
      </c>
      <c r="C67" s="8" t="s">
        <v>115</v>
      </c>
      <c r="D67" s="8" t="s">
        <v>21</v>
      </c>
      <c r="E67" s="27">
        <v>5351092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27.6" x14ac:dyDescent="0.25">
      <c r="A68" s="7">
        <v>50</v>
      </c>
      <c r="B68" s="8" t="s">
        <v>116</v>
      </c>
      <c r="C68" s="8" t="s">
        <v>117</v>
      </c>
      <c r="D68" s="8" t="s">
        <v>21</v>
      </c>
      <c r="E68" s="27">
        <v>2028834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27.6" x14ac:dyDescent="0.25">
      <c r="A69" s="7">
        <v>51</v>
      </c>
      <c r="B69" s="8" t="s">
        <v>118</v>
      </c>
      <c r="C69" s="8" t="s">
        <v>119</v>
      </c>
      <c r="D69" s="8" t="s">
        <v>21</v>
      </c>
      <c r="E69" s="27">
        <v>2028834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41.4" x14ac:dyDescent="0.25">
      <c r="A70" s="7">
        <v>52</v>
      </c>
      <c r="B70" s="8" t="s">
        <v>120</v>
      </c>
      <c r="C70" s="8" t="s">
        <v>121</v>
      </c>
      <c r="D70" s="8" t="s">
        <v>21</v>
      </c>
      <c r="E70" s="27">
        <v>2389503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27.6" x14ac:dyDescent="0.25">
      <c r="A71" s="7">
        <v>53</v>
      </c>
      <c r="B71" s="8" t="s">
        <v>122</v>
      </c>
      <c r="C71" s="8" t="s">
        <v>123</v>
      </c>
      <c r="D71" s="8" t="s">
        <v>21</v>
      </c>
      <c r="E71" s="27">
        <v>2091724.25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55.2" x14ac:dyDescent="0.25">
      <c r="A72" s="7">
        <v>54</v>
      </c>
      <c r="B72" s="8" t="s">
        <v>124</v>
      </c>
      <c r="C72" s="8" t="s">
        <v>125</v>
      </c>
      <c r="D72" s="8" t="s">
        <v>21</v>
      </c>
      <c r="E72" s="27">
        <v>2108224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27.6" x14ac:dyDescent="0.25">
      <c r="A73" s="7">
        <v>55</v>
      </c>
      <c r="B73" s="8" t="s">
        <v>126</v>
      </c>
      <c r="C73" s="8" t="s">
        <v>127</v>
      </c>
      <c r="D73" s="8" t="s">
        <v>21</v>
      </c>
      <c r="E73" s="27">
        <v>2074620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27.6" x14ac:dyDescent="0.25">
      <c r="A74" s="7">
        <v>56</v>
      </c>
      <c r="B74" s="8" t="s">
        <v>128</v>
      </c>
      <c r="C74" s="8" t="s">
        <v>129</v>
      </c>
      <c r="D74" s="8" t="s">
        <v>21</v>
      </c>
      <c r="E74" s="27">
        <v>1986994.93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27.6" x14ac:dyDescent="0.25">
      <c r="A75" s="7">
        <v>57</v>
      </c>
      <c r="B75" s="8" t="s">
        <v>130</v>
      </c>
      <c r="C75" s="8" t="s">
        <v>131</v>
      </c>
      <c r="D75" s="8" t="s">
        <v>21</v>
      </c>
      <c r="E75" s="27">
        <v>2137288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41.4" x14ac:dyDescent="0.25">
      <c r="A76" s="7">
        <v>58</v>
      </c>
      <c r="B76" s="8" t="s">
        <v>132</v>
      </c>
      <c r="C76" s="8" t="s">
        <v>133</v>
      </c>
      <c r="D76" s="8" t="s">
        <v>21</v>
      </c>
      <c r="E76" s="27">
        <v>2083932.73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27.6" x14ac:dyDescent="0.25">
      <c r="A77" s="7">
        <v>59</v>
      </c>
      <c r="B77" s="8" t="s">
        <v>134</v>
      </c>
      <c r="C77" s="8" t="s">
        <v>135</v>
      </c>
      <c r="D77" s="8" t="s">
        <v>21</v>
      </c>
      <c r="E77" s="27">
        <v>2152166.39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8" x14ac:dyDescent="0.25">
      <c r="A78" s="7">
        <v>60</v>
      </c>
      <c r="B78" s="8" t="s">
        <v>136</v>
      </c>
      <c r="C78" s="8" t="s">
        <v>137</v>
      </c>
      <c r="D78" s="8" t="s">
        <v>21</v>
      </c>
      <c r="E78" s="27">
        <v>6209852.7199999997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27.6" x14ac:dyDescent="0.25">
      <c r="A79" s="7">
        <v>61</v>
      </c>
      <c r="B79" s="8" t="s">
        <v>138</v>
      </c>
      <c r="C79" s="8" t="s">
        <v>139</v>
      </c>
      <c r="D79" s="8" t="s">
        <v>21</v>
      </c>
      <c r="E79" s="27">
        <v>12829592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27.6" x14ac:dyDescent="0.25">
      <c r="A80" s="7">
        <v>62</v>
      </c>
      <c r="B80" s="8" t="s">
        <v>140</v>
      </c>
      <c r="C80" s="8" t="s">
        <v>141</v>
      </c>
      <c r="D80" s="8" t="s">
        <v>21</v>
      </c>
      <c r="E80" s="27">
        <v>12990217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41.4" x14ac:dyDescent="0.25">
      <c r="A81" s="7">
        <v>63</v>
      </c>
      <c r="B81" s="8" t="s">
        <v>142</v>
      </c>
      <c r="C81" s="8" t="s">
        <v>143</v>
      </c>
      <c r="D81" s="8" t="s">
        <v>21</v>
      </c>
      <c r="E81" s="27">
        <v>9647808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27.6" x14ac:dyDescent="0.25">
      <c r="A82" s="7">
        <v>64</v>
      </c>
      <c r="B82" s="8" t="s">
        <v>144</v>
      </c>
      <c r="C82" s="8" t="s">
        <v>145</v>
      </c>
      <c r="D82" s="8" t="s">
        <v>21</v>
      </c>
      <c r="E82" s="27">
        <v>9822922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27.6" x14ac:dyDescent="0.25">
      <c r="A83" s="7">
        <v>65</v>
      </c>
      <c r="B83" s="8" t="s">
        <v>146</v>
      </c>
      <c r="C83" s="8" t="s">
        <v>147</v>
      </c>
      <c r="D83" s="8" t="s">
        <v>21</v>
      </c>
      <c r="E83" s="27">
        <v>13028190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27.6" x14ac:dyDescent="0.25">
      <c r="A84" s="7">
        <v>66</v>
      </c>
      <c r="B84" s="8" t="s">
        <v>148</v>
      </c>
      <c r="C84" s="8" t="s">
        <v>149</v>
      </c>
      <c r="D84" s="8" t="s">
        <v>21</v>
      </c>
      <c r="E84" s="27">
        <v>13022249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27.6" x14ac:dyDescent="0.25">
      <c r="A85" s="7">
        <v>67</v>
      </c>
      <c r="B85" s="8" t="s">
        <v>148</v>
      </c>
      <c r="C85" s="8" t="s">
        <v>150</v>
      </c>
      <c r="D85" s="8" t="s">
        <v>21</v>
      </c>
      <c r="E85" s="27">
        <v>13030249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8" x14ac:dyDescent="0.25">
      <c r="A86" s="7">
        <v>68</v>
      </c>
      <c r="B86" s="8" t="s">
        <v>151</v>
      </c>
      <c r="C86" s="8" t="s">
        <v>152</v>
      </c>
      <c r="D86" s="8" t="s">
        <v>21</v>
      </c>
      <c r="E86" s="27">
        <v>1538485.5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4.25" customHeight="1" x14ac:dyDescent="0.25">
      <c r="A87" s="7">
        <v>69</v>
      </c>
      <c r="B87" s="8" t="s">
        <v>153</v>
      </c>
      <c r="C87" s="8" t="s">
        <v>154</v>
      </c>
      <c r="D87" s="8" t="s">
        <v>21</v>
      </c>
      <c r="E87" s="27">
        <v>2170435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8" x14ac:dyDescent="0.25">
      <c r="A88" s="7">
        <v>70</v>
      </c>
      <c r="B88" s="8" t="s">
        <v>155</v>
      </c>
      <c r="C88" s="8" t="s">
        <v>156</v>
      </c>
      <c r="D88" s="8" t="s">
        <v>21</v>
      </c>
      <c r="E88" s="27">
        <v>2112760.6800000002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4.25" customHeight="1" x14ac:dyDescent="0.25">
      <c r="A89" s="7">
        <v>71</v>
      </c>
      <c r="B89" s="8" t="s">
        <v>157</v>
      </c>
      <c r="C89" s="8" t="s">
        <v>158</v>
      </c>
      <c r="D89" s="8" t="s">
        <v>21</v>
      </c>
      <c r="E89" s="27">
        <v>2170202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4.25" customHeight="1" x14ac:dyDescent="0.25">
      <c r="A90" s="7">
        <v>72</v>
      </c>
      <c r="B90" s="8" t="s">
        <v>159</v>
      </c>
      <c r="C90" s="8" t="s">
        <v>160</v>
      </c>
      <c r="D90" s="8" t="s">
        <v>21</v>
      </c>
      <c r="E90" s="27">
        <v>2165970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4.25" customHeight="1" x14ac:dyDescent="0.25">
      <c r="A91" s="7">
        <v>73</v>
      </c>
      <c r="B91" s="8" t="s">
        <v>161</v>
      </c>
      <c r="C91" s="8" t="s">
        <v>162</v>
      </c>
      <c r="D91" s="8" t="s">
        <v>21</v>
      </c>
      <c r="E91" s="27">
        <v>20703416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27.6" x14ac:dyDescent="0.25">
      <c r="A92" s="7">
        <v>74</v>
      </c>
      <c r="B92" s="8" t="s">
        <v>163</v>
      </c>
      <c r="C92" s="8" t="s">
        <v>164</v>
      </c>
      <c r="D92" s="8" t="s">
        <v>21</v>
      </c>
      <c r="E92" s="27">
        <v>1996540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27.6" x14ac:dyDescent="0.25">
      <c r="A93" s="7">
        <v>75</v>
      </c>
      <c r="B93" s="8" t="s">
        <v>165</v>
      </c>
      <c r="C93" s="8" t="s">
        <v>166</v>
      </c>
      <c r="D93" s="8" t="s">
        <v>21</v>
      </c>
      <c r="E93" s="27">
        <v>2170826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4.25" customHeight="1" x14ac:dyDescent="0.25">
      <c r="A94" s="7">
        <v>76</v>
      </c>
      <c r="B94" s="8" t="s">
        <v>167</v>
      </c>
      <c r="C94" s="8" t="s">
        <v>168</v>
      </c>
      <c r="D94" s="8" t="s">
        <v>21</v>
      </c>
      <c r="E94" s="27">
        <v>10895356.800000001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27.6" x14ac:dyDescent="0.25">
      <c r="A95" s="7">
        <v>77</v>
      </c>
      <c r="B95" s="8" t="s">
        <v>169</v>
      </c>
      <c r="C95" s="8" t="s">
        <v>170</v>
      </c>
      <c r="D95" s="8" t="s">
        <v>21</v>
      </c>
      <c r="E95" s="27">
        <v>9407764.9100000001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27.6" x14ac:dyDescent="0.25">
      <c r="A96" s="7">
        <v>78</v>
      </c>
      <c r="B96" s="8" t="s">
        <v>171</v>
      </c>
      <c r="C96" s="8" t="s">
        <v>172</v>
      </c>
      <c r="D96" s="8" t="s">
        <v>21</v>
      </c>
      <c r="E96" s="27">
        <v>1085905.6599999999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4.25" customHeight="1" x14ac:dyDescent="0.25">
      <c r="A97" s="29" t="s">
        <v>173</v>
      </c>
      <c r="B97" s="30"/>
      <c r="C97" s="30"/>
      <c r="D97" s="31"/>
      <c r="E97" s="28">
        <f>SUM(E19:E96)</f>
        <v>317945515.23000008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4.25" customHeight="1" x14ac:dyDescent="0.25">
      <c r="A98" s="10"/>
      <c r="B98" s="8"/>
      <c r="C98" s="8"/>
      <c r="D98" s="9"/>
      <c r="E98" s="14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4.25" customHeight="1" x14ac:dyDescent="0.25">
      <c r="A99" s="29" t="s">
        <v>174</v>
      </c>
      <c r="B99" s="30"/>
      <c r="C99" s="30"/>
      <c r="D99" s="30"/>
      <c r="E99" s="31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</row>
    <row r="100" spans="1:24" ht="27.6" x14ac:dyDescent="0.25">
      <c r="A100" s="10">
        <v>1</v>
      </c>
      <c r="B100" s="8" t="s">
        <v>175</v>
      </c>
      <c r="C100" s="8" t="s">
        <v>176</v>
      </c>
      <c r="D100" s="9" t="s">
        <v>177</v>
      </c>
      <c r="E100" s="27">
        <v>1744401.73</v>
      </c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 spans="1:24" ht="27.6" x14ac:dyDescent="0.25">
      <c r="A101" s="10">
        <v>2</v>
      </c>
      <c r="B101" s="8" t="s">
        <v>178</v>
      </c>
      <c r="C101" s="8" t="s">
        <v>179</v>
      </c>
      <c r="D101" s="9" t="s">
        <v>177</v>
      </c>
      <c r="E101" s="27">
        <v>924969.91500000004</v>
      </c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 spans="1:24" ht="27.6" x14ac:dyDescent="0.25">
      <c r="A102" s="7">
        <v>3</v>
      </c>
      <c r="B102" s="8" t="s">
        <v>180</v>
      </c>
      <c r="C102" s="8" t="s">
        <v>181</v>
      </c>
      <c r="D102" s="9" t="s">
        <v>177</v>
      </c>
      <c r="E102" s="27">
        <v>1492515</v>
      </c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3" spans="1:24" ht="14.25" customHeight="1" x14ac:dyDescent="0.25">
      <c r="A103" s="29" t="s">
        <v>182</v>
      </c>
      <c r="B103" s="30"/>
      <c r="C103" s="30"/>
      <c r="D103" s="31"/>
      <c r="E103" s="28">
        <f>SUM(E100:E102)</f>
        <v>4161886.645</v>
      </c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</row>
    <row r="104" spans="1:24" ht="14.25" customHeight="1" x14ac:dyDescent="0.25">
      <c r="A104" s="7"/>
      <c r="B104" s="17"/>
      <c r="C104" s="18"/>
      <c r="D104" s="18"/>
      <c r="E104" s="19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</row>
    <row r="105" spans="1:24" ht="14.25" customHeight="1" x14ac:dyDescent="0.25">
      <c r="A105" s="29" t="s">
        <v>183</v>
      </c>
      <c r="B105" s="30"/>
      <c r="C105" s="30"/>
      <c r="D105" s="30"/>
      <c r="E105" s="31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</row>
    <row r="106" spans="1:24" ht="41.4" x14ac:dyDescent="0.25">
      <c r="A106" s="21">
        <v>1</v>
      </c>
      <c r="B106" s="8" t="s">
        <v>184</v>
      </c>
      <c r="C106" s="8" t="s">
        <v>185</v>
      </c>
      <c r="D106" s="8" t="s">
        <v>186</v>
      </c>
      <c r="E106" s="27">
        <v>267350</v>
      </c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</row>
    <row r="107" spans="1:24" ht="41.4" x14ac:dyDescent="0.25">
      <c r="A107" s="21">
        <v>2</v>
      </c>
      <c r="B107" s="8" t="s">
        <v>187</v>
      </c>
      <c r="C107" s="8" t="s">
        <v>188</v>
      </c>
      <c r="D107" s="8" t="s">
        <v>186</v>
      </c>
      <c r="E107" s="27">
        <v>42359.8</v>
      </c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</row>
    <row r="108" spans="1:24" ht="27.6" x14ac:dyDescent="0.25">
      <c r="A108" s="21">
        <v>3</v>
      </c>
      <c r="B108" s="8" t="s">
        <v>189</v>
      </c>
      <c r="C108" s="8" t="s">
        <v>190</v>
      </c>
      <c r="D108" s="8" t="s">
        <v>186</v>
      </c>
      <c r="E108" s="27">
        <v>31222</v>
      </c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</row>
    <row r="109" spans="1:24" ht="13.8" x14ac:dyDescent="0.25">
      <c r="A109" s="21">
        <v>4</v>
      </c>
      <c r="B109" s="8" t="s">
        <v>191</v>
      </c>
      <c r="C109" s="8" t="s">
        <v>192</v>
      </c>
      <c r="D109" s="8" t="s">
        <v>186</v>
      </c>
      <c r="E109" s="27">
        <v>155302</v>
      </c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</row>
    <row r="110" spans="1:24" ht="13.8" x14ac:dyDescent="0.25">
      <c r="A110" s="21">
        <v>5</v>
      </c>
      <c r="B110" s="8" t="s">
        <v>193</v>
      </c>
      <c r="C110" s="8" t="s">
        <v>194</v>
      </c>
      <c r="D110" s="8" t="s">
        <v>186</v>
      </c>
      <c r="E110" s="27">
        <v>66606</v>
      </c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</row>
    <row r="111" spans="1:24" ht="41.4" x14ac:dyDescent="0.25">
      <c r="A111" s="21">
        <v>6</v>
      </c>
      <c r="B111" s="8" t="s">
        <v>195</v>
      </c>
      <c r="C111" s="8" t="s">
        <v>196</v>
      </c>
      <c r="D111" s="8" t="s">
        <v>186</v>
      </c>
      <c r="E111" s="27">
        <v>61960</v>
      </c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</row>
    <row r="112" spans="1:24" ht="13.8" x14ac:dyDescent="0.25">
      <c r="A112" s="21">
        <v>7</v>
      </c>
      <c r="B112" s="8" t="s">
        <v>197</v>
      </c>
      <c r="C112" s="8" t="s">
        <v>198</v>
      </c>
      <c r="D112" s="8" t="s">
        <v>186</v>
      </c>
      <c r="E112" s="27">
        <v>40125</v>
      </c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</row>
    <row r="113" spans="1:24" ht="27.6" x14ac:dyDescent="0.25">
      <c r="A113" s="21">
        <v>8</v>
      </c>
      <c r="B113" s="8" t="s">
        <v>199</v>
      </c>
      <c r="C113" s="8" t="s">
        <v>200</v>
      </c>
      <c r="D113" s="8" t="s">
        <v>186</v>
      </c>
      <c r="E113" s="27">
        <v>24198</v>
      </c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</row>
    <row r="114" spans="1:24" ht="27.6" x14ac:dyDescent="0.25">
      <c r="A114" s="21">
        <v>9</v>
      </c>
      <c r="B114" s="8" t="s">
        <v>201</v>
      </c>
      <c r="C114" s="8" t="s">
        <v>202</v>
      </c>
      <c r="D114" s="8" t="s">
        <v>186</v>
      </c>
      <c r="E114" s="27">
        <v>106240</v>
      </c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</row>
    <row r="115" spans="1:24" ht="41.4" x14ac:dyDescent="0.25">
      <c r="A115" s="21">
        <v>10</v>
      </c>
      <c r="B115" s="8" t="s">
        <v>203</v>
      </c>
      <c r="C115" s="8" t="s">
        <v>204</v>
      </c>
      <c r="D115" s="8" t="s">
        <v>186</v>
      </c>
      <c r="E115" s="27">
        <v>60000</v>
      </c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</row>
    <row r="116" spans="1:24" ht="14.25" customHeight="1" x14ac:dyDescent="0.25">
      <c r="A116" s="21">
        <v>11</v>
      </c>
      <c r="B116" s="8" t="s">
        <v>205</v>
      </c>
      <c r="C116" s="8" t="s">
        <v>206</v>
      </c>
      <c r="D116" s="8" t="s">
        <v>186</v>
      </c>
      <c r="E116" s="27">
        <v>140216</v>
      </c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</row>
    <row r="117" spans="1:24" ht="14.25" customHeight="1" x14ac:dyDescent="0.25">
      <c r="A117" s="29" t="s">
        <v>207</v>
      </c>
      <c r="B117" s="30"/>
      <c r="C117" s="30"/>
      <c r="D117" s="31"/>
      <c r="E117" s="28">
        <f>SUM(E106:E116)</f>
        <v>995578.8</v>
      </c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</row>
    <row r="118" spans="1:24" ht="14.25" customHeight="1" x14ac:dyDescent="0.25">
      <c r="A118" s="22"/>
      <c r="B118" s="23"/>
      <c r="C118" s="23"/>
      <c r="D118" s="1"/>
      <c r="E118" s="24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4.25" customHeight="1" x14ac:dyDescent="0.25">
      <c r="A119" s="29" t="s">
        <v>208</v>
      </c>
      <c r="B119" s="30"/>
      <c r="C119" s="30"/>
      <c r="D119" s="30"/>
      <c r="E119" s="31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</row>
    <row r="120" spans="1:24" ht="27.6" x14ac:dyDescent="0.25">
      <c r="A120" s="21">
        <v>1</v>
      </c>
      <c r="B120" s="8" t="s">
        <v>209</v>
      </c>
      <c r="C120" s="8" t="s">
        <v>210</v>
      </c>
      <c r="D120" s="9" t="s">
        <v>211</v>
      </c>
      <c r="E120" s="27">
        <f>309722*3.5</f>
        <v>1084027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27.6" x14ac:dyDescent="0.25">
      <c r="A121" s="21">
        <v>2</v>
      </c>
      <c r="B121" s="8" t="s">
        <v>212</v>
      </c>
      <c r="C121" s="8" t="s">
        <v>213</v>
      </c>
      <c r="D121" s="9" t="s">
        <v>211</v>
      </c>
      <c r="E121" s="27">
        <f>56319.75*3.5</f>
        <v>197119.125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27.6" x14ac:dyDescent="0.25">
      <c r="A122" s="21">
        <v>3</v>
      </c>
      <c r="B122" s="8" t="s">
        <v>214</v>
      </c>
      <c r="C122" s="8" t="s">
        <v>215</v>
      </c>
      <c r="D122" s="9" t="s">
        <v>211</v>
      </c>
      <c r="E122" s="27">
        <f>1186100*3.5</f>
        <v>4151350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27.6" x14ac:dyDescent="0.25">
      <c r="A123" s="21">
        <v>4</v>
      </c>
      <c r="B123" s="8" t="s">
        <v>216</v>
      </c>
      <c r="C123" s="8" t="s">
        <v>217</v>
      </c>
      <c r="D123" s="9" t="s">
        <v>211</v>
      </c>
      <c r="E123" s="27">
        <f>22009*3.5</f>
        <v>77031.5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8" x14ac:dyDescent="0.25">
      <c r="A124" s="21">
        <v>5</v>
      </c>
      <c r="B124" s="8" t="s">
        <v>218</v>
      </c>
      <c r="C124" s="8" t="s">
        <v>219</v>
      </c>
      <c r="D124" s="9" t="s">
        <v>211</v>
      </c>
      <c r="E124" s="27">
        <f>286897*3.5</f>
        <v>1004139.5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4.25" customHeight="1" x14ac:dyDescent="0.25">
      <c r="A125" s="21">
        <v>6</v>
      </c>
      <c r="B125" s="8" t="s">
        <v>218</v>
      </c>
      <c r="C125" s="8" t="s">
        <v>220</v>
      </c>
      <c r="D125" s="9" t="s">
        <v>211</v>
      </c>
      <c r="E125" s="27">
        <f>222273*3.5</f>
        <v>777955.5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27.6" x14ac:dyDescent="0.25">
      <c r="A126" s="21">
        <v>7</v>
      </c>
      <c r="B126" s="8" t="s">
        <v>221</v>
      </c>
      <c r="C126" s="8" t="s">
        <v>222</v>
      </c>
      <c r="D126" s="9" t="s">
        <v>211</v>
      </c>
      <c r="E126" s="27">
        <f>10470*3.5</f>
        <v>36645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4.25" customHeight="1" x14ac:dyDescent="0.25">
      <c r="A127" s="21">
        <v>8</v>
      </c>
      <c r="B127" s="8" t="s">
        <v>223</v>
      </c>
      <c r="C127" s="8" t="s">
        <v>224</v>
      </c>
      <c r="D127" s="9" t="s">
        <v>211</v>
      </c>
      <c r="E127" s="27">
        <f>3478706*3.5</f>
        <v>12175471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8" x14ac:dyDescent="0.25">
      <c r="A128" s="21">
        <v>9</v>
      </c>
      <c r="B128" s="8" t="s">
        <v>225</v>
      </c>
      <c r="C128" s="8" t="s">
        <v>226</v>
      </c>
      <c r="D128" s="9" t="s">
        <v>211</v>
      </c>
      <c r="E128" s="27">
        <f>94250*3.5</f>
        <v>329875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4.25" customHeight="1" x14ac:dyDescent="0.25">
      <c r="A129" s="21">
        <v>10</v>
      </c>
      <c r="B129" s="8" t="s">
        <v>225</v>
      </c>
      <c r="C129" s="8" t="s">
        <v>227</v>
      </c>
      <c r="D129" s="9" t="s">
        <v>211</v>
      </c>
      <c r="E129" s="27">
        <f>70500*3.5</f>
        <v>246750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4.25" customHeight="1" x14ac:dyDescent="0.25">
      <c r="A130" s="21">
        <v>11</v>
      </c>
      <c r="B130" s="8" t="s">
        <v>225</v>
      </c>
      <c r="C130" s="8" t="s">
        <v>228</v>
      </c>
      <c r="D130" s="9" t="s">
        <v>211</v>
      </c>
      <c r="E130" s="27">
        <f>19450*3.5</f>
        <v>68075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8" x14ac:dyDescent="0.25">
      <c r="A131" s="21">
        <v>12</v>
      </c>
      <c r="B131" s="8" t="s">
        <v>229</v>
      </c>
      <c r="C131" s="8" t="s">
        <v>230</v>
      </c>
      <c r="D131" s="9" t="s">
        <v>211</v>
      </c>
      <c r="E131" s="27">
        <f>502246*3.5</f>
        <v>1757861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4.25" customHeight="1" x14ac:dyDescent="0.25">
      <c r="A132" s="21">
        <v>13</v>
      </c>
      <c r="B132" s="8" t="s">
        <v>225</v>
      </c>
      <c r="C132" s="8" t="s">
        <v>231</v>
      </c>
      <c r="D132" s="9" t="s">
        <v>211</v>
      </c>
      <c r="E132" s="27">
        <f>12000*3.5</f>
        <v>42000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8" x14ac:dyDescent="0.25">
      <c r="A133" s="21">
        <v>14</v>
      </c>
      <c r="B133" s="8" t="s">
        <v>229</v>
      </c>
      <c r="C133" s="8" t="s">
        <v>232</v>
      </c>
      <c r="D133" s="9" t="s">
        <v>211</v>
      </c>
      <c r="E133" s="27">
        <f>29541</f>
        <v>29541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4.25" customHeight="1" x14ac:dyDescent="0.25">
      <c r="A134" s="21">
        <v>15</v>
      </c>
      <c r="B134" s="8" t="s">
        <v>233</v>
      </c>
      <c r="C134" s="8" t="s">
        <v>234</v>
      </c>
      <c r="D134" s="9" t="s">
        <v>211</v>
      </c>
      <c r="E134" s="27">
        <f>7505</f>
        <v>7505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27.6" x14ac:dyDescent="0.25">
      <c r="A135" s="21">
        <v>16</v>
      </c>
      <c r="B135" s="8" t="s">
        <v>235</v>
      </c>
      <c r="C135" s="8" t="s">
        <v>236</v>
      </c>
      <c r="D135" s="9" t="s">
        <v>211</v>
      </c>
      <c r="E135" s="27">
        <f>298519*3.5</f>
        <v>1044816.5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27.6" x14ac:dyDescent="0.25">
      <c r="A136" s="21">
        <v>17</v>
      </c>
      <c r="B136" s="8" t="s">
        <v>237</v>
      </c>
      <c r="C136" s="8" t="s">
        <v>238</v>
      </c>
      <c r="D136" s="9" t="s">
        <v>211</v>
      </c>
      <c r="E136" s="27">
        <f>666000*3.5</f>
        <v>2331000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55.2" x14ac:dyDescent="0.25">
      <c r="A137" s="21">
        <v>18</v>
      </c>
      <c r="B137" s="8" t="s">
        <v>239</v>
      </c>
      <c r="C137" s="8" t="s">
        <v>240</v>
      </c>
      <c r="D137" s="9" t="s">
        <v>211</v>
      </c>
      <c r="E137" s="27">
        <f>550*3.5</f>
        <v>1925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8" x14ac:dyDescent="0.25">
      <c r="A138" s="21">
        <v>19</v>
      </c>
      <c r="B138" s="8" t="s">
        <v>241</v>
      </c>
      <c r="C138" s="8" t="s">
        <v>242</v>
      </c>
      <c r="D138" s="9" t="s">
        <v>211</v>
      </c>
      <c r="E138" s="27">
        <f>201244.28*3.5</f>
        <v>704354.98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8" x14ac:dyDescent="0.25">
      <c r="A139" s="21">
        <v>20</v>
      </c>
      <c r="B139" s="8" t="s">
        <v>243</v>
      </c>
      <c r="C139" s="8" t="s">
        <v>244</v>
      </c>
      <c r="D139" s="9" t="s">
        <v>211</v>
      </c>
      <c r="E139" s="27">
        <f>411542*3.5</f>
        <v>1440397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8" x14ac:dyDescent="0.25">
      <c r="A140" s="21">
        <v>21</v>
      </c>
      <c r="B140" s="8" t="s">
        <v>245</v>
      </c>
      <c r="C140" s="8" t="s">
        <v>246</v>
      </c>
      <c r="D140" s="9" t="s">
        <v>211</v>
      </c>
      <c r="E140" s="27">
        <f>45644*3.5</f>
        <v>159754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27.6" x14ac:dyDescent="0.25">
      <c r="A141" s="21">
        <v>22</v>
      </c>
      <c r="B141" s="8" t="s">
        <v>247</v>
      </c>
      <c r="C141" s="8" t="s">
        <v>248</v>
      </c>
      <c r="D141" s="9" t="s">
        <v>211</v>
      </c>
      <c r="E141" s="27">
        <f>84318.68*3.5</f>
        <v>295115.38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27.6" x14ac:dyDescent="0.25">
      <c r="A142" s="21">
        <v>23</v>
      </c>
      <c r="B142" s="8" t="s">
        <v>249</v>
      </c>
      <c r="C142" s="8" t="s">
        <v>250</v>
      </c>
      <c r="D142" s="9" t="s">
        <v>211</v>
      </c>
      <c r="E142" s="27">
        <f>130720*3.5</f>
        <v>457520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27.6" x14ac:dyDescent="0.25">
      <c r="A143" s="21">
        <v>24</v>
      </c>
      <c r="B143" s="8" t="s">
        <v>251</v>
      </c>
      <c r="C143" s="8" t="s">
        <v>252</v>
      </c>
      <c r="D143" s="9" t="s">
        <v>211</v>
      </c>
      <c r="E143" s="27">
        <f>360284*3.5</f>
        <v>1260994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27.6" x14ac:dyDescent="0.25">
      <c r="A144" s="21">
        <v>25</v>
      </c>
      <c r="B144" s="8" t="s">
        <v>253</v>
      </c>
      <c r="C144" s="8" t="s">
        <v>254</v>
      </c>
      <c r="D144" s="9" t="s">
        <v>211</v>
      </c>
      <c r="E144" s="27">
        <f>248565*3.5</f>
        <v>869977.5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41.4" x14ac:dyDescent="0.25">
      <c r="A145" s="21">
        <v>26</v>
      </c>
      <c r="B145" s="8" t="s">
        <v>255</v>
      </c>
      <c r="C145" s="8" t="s">
        <v>256</v>
      </c>
      <c r="D145" s="9" t="s">
        <v>211</v>
      </c>
      <c r="E145" s="27">
        <f>3223*3.5</f>
        <v>11280.5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8" x14ac:dyDescent="0.25">
      <c r="A146" s="21">
        <v>27</v>
      </c>
      <c r="B146" s="8" t="s">
        <v>257</v>
      </c>
      <c r="C146" s="8" t="s">
        <v>258</v>
      </c>
      <c r="D146" s="9" t="s">
        <v>211</v>
      </c>
      <c r="E146" s="27">
        <f>1989173*3.5</f>
        <v>6962105.5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41.4" x14ac:dyDescent="0.25">
      <c r="A147" s="21">
        <v>28</v>
      </c>
      <c r="B147" s="8" t="s">
        <v>259</v>
      </c>
      <c r="C147" s="8" t="s">
        <v>260</v>
      </c>
      <c r="D147" s="9" t="s">
        <v>211</v>
      </c>
      <c r="E147" s="27">
        <f>596050*3.5</f>
        <v>2086175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27.6" x14ac:dyDescent="0.25">
      <c r="A148" s="21">
        <v>29</v>
      </c>
      <c r="B148" s="8" t="s">
        <v>261</v>
      </c>
      <c r="C148" s="8" t="s">
        <v>262</v>
      </c>
      <c r="D148" s="9" t="s">
        <v>211</v>
      </c>
      <c r="E148" s="27">
        <f>49280*3.5</f>
        <v>172480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27.6" x14ac:dyDescent="0.25">
      <c r="A149" s="21">
        <v>30</v>
      </c>
      <c r="B149" s="8" t="s">
        <v>263</v>
      </c>
      <c r="C149" s="8" t="s">
        <v>264</v>
      </c>
      <c r="D149" s="9" t="s">
        <v>211</v>
      </c>
      <c r="E149" s="27">
        <f>27700*3.5</f>
        <v>96950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27.6" x14ac:dyDescent="0.25">
      <c r="A150" s="21">
        <v>31</v>
      </c>
      <c r="B150" s="8" t="s">
        <v>265</v>
      </c>
      <c r="C150" s="8" t="s">
        <v>266</v>
      </c>
      <c r="D150" s="9" t="s">
        <v>211</v>
      </c>
      <c r="E150" s="27">
        <f>182961.9*3.5</f>
        <v>640366.65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8" x14ac:dyDescent="0.25">
      <c r="A151" s="21">
        <v>32</v>
      </c>
      <c r="B151" s="8" t="s">
        <v>267</v>
      </c>
      <c r="C151" s="8" t="s">
        <v>268</v>
      </c>
      <c r="D151" s="9" t="s">
        <v>211</v>
      </c>
      <c r="E151" s="27">
        <f>512012*3.5</f>
        <v>1792042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8" x14ac:dyDescent="0.25">
      <c r="A152" s="21">
        <v>33</v>
      </c>
      <c r="B152" s="8" t="s">
        <v>306</v>
      </c>
      <c r="C152" s="8" t="s">
        <v>269</v>
      </c>
      <c r="D152" s="9" t="s">
        <v>211</v>
      </c>
      <c r="E152" s="27">
        <f>253000*3.5</f>
        <v>885500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4.25" customHeight="1" x14ac:dyDescent="0.25">
      <c r="A153" s="21">
        <v>34</v>
      </c>
      <c r="B153" s="8" t="s">
        <v>270</v>
      </c>
      <c r="C153" s="8" t="s">
        <v>270</v>
      </c>
      <c r="D153" s="9" t="s">
        <v>211</v>
      </c>
      <c r="E153" s="27">
        <f>60402*3.5</f>
        <v>211407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4.25" customHeight="1" x14ac:dyDescent="0.25">
      <c r="A154" s="21">
        <v>35</v>
      </c>
      <c r="B154" s="8" t="s">
        <v>271</v>
      </c>
      <c r="C154" s="8" t="s">
        <v>272</v>
      </c>
      <c r="D154" s="9" t="s">
        <v>211</v>
      </c>
      <c r="E154" s="27">
        <f>28224*3.5</f>
        <v>98784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8" x14ac:dyDescent="0.25">
      <c r="A155" s="21">
        <v>36</v>
      </c>
      <c r="B155" s="8" t="s">
        <v>273</v>
      </c>
      <c r="C155" s="8" t="s">
        <v>274</v>
      </c>
      <c r="D155" s="9" t="s">
        <v>211</v>
      </c>
      <c r="E155" s="27">
        <f>568244*3.5</f>
        <v>1988854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27.6" x14ac:dyDescent="0.25">
      <c r="A156" s="21">
        <v>37</v>
      </c>
      <c r="B156" s="8" t="s">
        <v>275</v>
      </c>
      <c r="C156" s="8" t="s">
        <v>276</v>
      </c>
      <c r="D156" s="9" t="s">
        <v>211</v>
      </c>
      <c r="E156" s="27">
        <f>100000*3.5</f>
        <v>350000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27.6" x14ac:dyDescent="0.25">
      <c r="A157" s="21">
        <v>38</v>
      </c>
      <c r="B157" s="8" t="s">
        <v>277</v>
      </c>
      <c r="C157" s="8" t="s">
        <v>278</v>
      </c>
      <c r="D157" s="9" t="s">
        <v>211</v>
      </c>
      <c r="E157" s="27">
        <f>17600*3.5</f>
        <v>61600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27.6" x14ac:dyDescent="0.25">
      <c r="A158" s="21">
        <v>39</v>
      </c>
      <c r="B158" s="8" t="s">
        <v>279</v>
      </c>
      <c r="C158" s="8" t="s">
        <v>280</v>
      </c>
      <c r="D158" s="9" t="s">
        <v>211</v>
      </c>
      <c r="E158" s="27">
        <f>265000*3.5</f>
        <v>927500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27.6" x14ac:dyDescent="0.25">
      <c r="A159" s="21">
        <v>40</v>
      </c>
      <c r="B159" s="8" t="s">
        <v>281</v>
      </c>
      <c r="C159" s="8" t="s">
        <v>282</v>
      </c>
      <c r="D159" s="9" t="s">
        <v>211</v>
      </c>
      <c r="E159" s="27">
        <f>22577*3.5</f>
        <v>79019.5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4.4" x14ac:dyDescent="0.25">
      <c r="A160" s="21">
        <v>41</v>
      </c>
      <c r="B160" s="8" t="s">
        <v>283</v>
      </c>
      <c r="C160" s="8" t="s">
        <v>284</v>
      </c>
      <c r="D160" s="9" t="s">
        <v>211</v>
      </c>
      <c r="E160" s="27">
        <f>180000*3.5</f>
        <v>630000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27.6" x14ac:dyDescent="0.25">
      <c r="A161" s="21">
        <v>42</v>
      </c>
      <c r="B161" s="8" t="s">
        <v>285</v>
      </c>
      <c r="C161" s="8" t="s">
        <v>286</v>
      </c>
      <c r="D161" s="9" t="s">
        <v>211</v>
      </c>
      <c r="E161" s="27">
        <f>200164.5*3.5</f>
        <v>700575.75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27.6" x14ac:dyDescent="0.25">
      <c r="A162" s="21">
        <v>43</v>
      </c>
      <c r="B162" s="8" t="s">
        <v>287</v>
      </c>
      <c r="C162" s="8" t="s">
        <v>288</v>
      </c>
      <c r="D162" s="8" t="s">
        <v>211</v>
      </c>
      <c r="E162" s="27">
        <v>2226272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27.6" x14ac:dyDescent="0.25">
      <c r="A163" s="21">
        <v>44</v>
      </c>
      <c r="B163" s="8" t="s">
        <v>289</v>
      </c>
      <c r="C163" s="8" t="s">
        <v>290</v>
      </c>
      <c r="D163" s="8" t="s">
        <v>211</v>
      </c>
      <c r="E163" s="27">
        <v>94360.5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8" x14ac:dyDescent="0.25">
      <c r="A164" s="21">
        <v>45</v>
      </c>
      <c r="B164" s="8" t="s">
        <v>291</v>
      </c>
      <c r="C164" s="8" t="s">
        <v>292</v>
      </c>
      <c r="D164" s="8" t="s">
        <v>211</v>
      </c>
      <c r="E164" s="27">
        <v>67500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4.25" customHeight="1" x14ac:dyDescent="0.25">
      <c r="A165" s="21">
        <v>46</v>
      </c>
      <c r="B165" s="8" t="s">
        <v>293</v>
      </c>
      <c r="C165" s="8" t="s">
        <v>294</v>
      </c>
      <c r="D165" s="8" t="s">
        <v>211</v>
      </c>
      <c r="E165" s="27">
        <v>723960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8" x14ac:dyDescent="0.25">
      <c r="A166" s="21">
        <v>47</v>
      </c>
      <c r="B166" s="8" t="s">
        <v>295</v>
      </c>
      <c r="C166" s="8" t="s">
        <v>296</v>
      </c>
      <c r="D166" s="8" t="s">
        <v>211</v>
      </c>
      <c r="E166" s="27">
        <v>90000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27.6" x14ac:dyDescent="0.25">
      <c r="A167" s="21">
        <v>48</v>
      </c>
      <c r="B167" s="8" t="s">
        <v>297</v>
      </c>
      <c r="C167" s="8" t="s">
        <v>298</v>
      </c>
      <c r="D167" s="8" t="s">
        <v>211</v>
      </c>
      <c r="E167" s="27">
        <v>96306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8" x14ac:dyDescent="0.25">
      <c r="A168" s="21">
        <v>49</v>
      </c>
      <c r="B168" s="8" t="s">
        <v>299</v>
      </c>
      <c r="C168" s="8" t="s">
        <v>300</v>
      </c>
      <c r="D168" s="8" t="s">
        <v>211</v>
      </c>
      <c r="E168" s="27">
        <v>213000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8" x14ac:dyDescent="0.25">
      <c r="A169" s="21">
        <v>50</v>
      </c>
      <c r="B169" s="8" t="s">
        <v>301</v>
      </c>
      <c r="C169" s="8" t="s">
        <v>302</v>
      </c>
      <c r="D169" s="8" t="s">
        <v>211</v>
      </c>
      <c r="E169" s="27">
        <v>3297075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4.25" customHeight="1" x14ac:dyDescent="0.25">
      <c r="A170" s="29" t="s">
        <v>207</v>
      </c>
      <c r="B170" s="30"/>
      <c r="C170" s="30"/>
      <c r="D170" s="31"/>
      <c r="E170" s="28">
        <f>SUM(E120:E169)</f>
        <v>55054313.384999998</v>
      </c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</row>
    <row r="171" spans="1:24" ht="41.4" x14ac:dyDescent="0.25">
      <c r="A171" s="22"/>
      <c r="B171" s="23"/>
      <c r="C171" s="23"/>
      <c r="D171" s="25" t="s">
        <v>303</v>
      </c>
      <c r="E171" s="26">
        <f>E16+E97+E103+E117+E170</f>
        <v>432709493.06000006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4.25" customHeight="1" x14ac:dyDescent="0.25">
      <c r="A172" s="22"/>
      <c r="B172" s="23"/>
      <c r="C172" s="23"/>
      <c r="D172" s="1"/>
      <c r="E172" s="24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4.25" customHeight="1" x14ac:dyDescent="0.25">
      <c r="A173" s="22"/>
      <c r="B173" s="23"/>
      <c r="C173" s="23"/>
      <c r="D173" s="1"/>
      <c r="E173" s="24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4.25" customHeight="1" x14ac:dyDescent="0.25">
      <c r="A174" s="22"/>
      <c r="B174" s="23"/>
      <c r="C174" s="23"/>
      <c r="D174" s="1"/>
      <c r="E174" s="24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4.25" customHeight="1" x14ac:dyDescent="0.25">
      <c r="A175" s="22"/>
      <c r="B175" s="23"/>
      <c r="C175" s="23"/>
      <c r="D175" s="1"/>
      <c r="E175" s="24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4.25" customHeight="1" x14ac:dyDescent="0.25">
      <c r="A176" s="22"/>
      <c r="B176" s="23"/>
      <c r="C176" s="23"/>
      <c r="D176" s="1"/>
      <c r="E176" s="24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4.25" customHeight="1" x14ac:dyDescent="0.25">
      <c r="A177" s="22"/>
      <c r="B177" s="23"/>
      <c r="C177" s="23"/>
      <c r="D177" s="1"/>
      <c r="E177" s="24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4.25" customHeight="1" x14ac:dyDescent="0.25">
      <c r="A178" s="22"/>
      <c r="B178" s="23"/>
      <c r="C178" s="23"/>
      <c r="D178" s="1"/>
      <c r="E178" s="24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4.25" customHeight="1" x14ac:dyDescent="0.25">
      <c r="A179" s="22"/>
      <c r="B179" s="23"/>
      <c r="C179" s="23"/>
      <c r="D179" s="1"/>
      <c r="E179" s="24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4.25" customHeight="1" x14ac:dyDescent="0.25">
      <c r="A180" s="22"/>
      <c r="B180" s="23"/>
      <c r="C180" s="23"/>
      <c r="D180" s="1"/>
      <c r="E180" s="24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4.25" customHeight="1" x14ac:dyDescent="0.25">
      <c r="A181" s="22"/>
      <c r="B181" s="23"/>
      <c r="C181" s="23"/>
      <c r="D181" s="1"/>
      <c r="E181" s="24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4.25" customHeight="1" x14ac:dyDescent="0.25">
      <c r="A182" s="22"/>
      <c r="B182" s="23"/>
      <c r="C182" s="23"/>
      <c r="D182" s="1"/>
      <c r="E182" s="24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4.25" customHeight="1" x14ac:dyDescent="0.25">
      <c r="A183" s="22"/>
      <c r="B183" s="23"/>
      <c r="C183" s="23"/>
      <c r="D183" s="1"/>
      <c r="E183" s="24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4.25" customHeight="1" x14ac:dyDescent="0.25">
      <c r="A184" s="22"/>
      <c r="B184" s="23"/>
      <c r="C184" s="23"/>
      <c r="D184" s="1"/>
      <c r="E184" s="24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4.25" customHeight="1" x14ac:dyDescent="0.25">
      <c r="A185" s="22"/>
      <c r="B185" s="23"/>
      <c r="C185" s="23"/>
      <c r="D185" s="1"/>
      <c r="E185" s="24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4.25" customHeight="1" x14ac:dyDescent="0.25">
      <c r="A186" s="22"/>
      <c r="B186" s="23"/>
      <c r="C186" s="23"/>
      <c r="D186" s="1"/>
      <c r="E186" s="24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4.25" customHeight="1" x14ac:dyDescent="0.25">
      <c r="A187" s="22"/>
      <c r="B187" s="23"/>
      <c r="C187" s="23"/>
      <c r="D187" s="1"/>
      <c r="E187" s="24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4.25" customHeight="1" x14ac:dyDescent="0.25">
      <c r="A188" s="22"/>
      <c r="B188" s="23"/>
      <c r="C188" s="23"/>
      <c r="D188" s="1"/>
      <c r="E188" s="24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4.25" customHeight="1" x14ac:dyDescent="0.25">
      <c r="A189" s="22"/>
      <c r="B189" s="23"/>
      <c r="C189" s="23"/>
      <c r="D189" s="1"/>
      <c r="E189" s="24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4.25" customHeight="1" x14ac:dyDescent="0.25">
      <c r="A190" s="22"/>
      <c r="B190" s="23"/>
      <c r="C190" s="23"/>
      <c r="D190" s="1"/>
      <c r="E190" s="24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4.25" customHeight="1" x14ac:dyDescent="0.25">
      <c r="A191" s="22"/>
      <c r="B191" s="23"/>
      <c r="C191" s="23"/>
      <c r="D191" s="1"/>
      <c r="E191" s="24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4.25" customHeight="1" x14ac:dyDescent="0.25">
      <c r="A192" s="22"/>
      <c r="B192" s="23"/>
      <c r="C192" s="23"/>
      <c r="D192" s="1"/>
      <c r="E192" s="24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4.25" customHeight="1" x14ac:dyDescent="0.25">
      <c r="A193" s="22"/>
      <c r="B193" s="23"/>
      <c r="C193" s="23"/>
      <c r="D193" s="1"/>
      <c r="E193" s="24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4.25" customHeight="1" x14ac:dyDescent="0.25">
      <c r="A194" s="22"/>
      <c r="B194" s="23"/>
      <c r="C194" s="23"/>
      <c r="D194" s="1"/>
      <c r="E194" s="24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4.25" customHeight="1" x14ac:dyDescent="0.25">
      <c r="A195" s="22"/>
      <c r="B195" s="23"/>
      <c r="C195" s="23"/>
      <c r="D195" s="1"/>
      <c r="E195" s="24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4.25" customHeight="1" x14ac:dyDescent="0.25">
      <c r="A196" s="22"/>
      <c r="B196" s="23"/>
      <c r="C196" s="23"/>
      <c r="D196" s="1"/>
      <c r="E196" s="24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4.25" customHeight="1" x14ac:dyDescent="0.25">
      <c r="A197" s="22"/>
      <c r="B197" s="23"/>
      <c r="C197" s="23"/>
      <c r="D197" s="1"/>
      <c r="E197" s="24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4.25" customHeight="1" x14ac:dyDescent="0.25">
      <c r="A198" s="22"/>
      <c r="B198" s="23"/>
      <c r="C198" s="23"/>
      <c r="D198" s="1"/>
      <c r="E198" s="24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4.25" customHeight="1" x14ac:dyDescent="0.25">
      <c r="A199" s="22"/>
      <c r="B199" s="23"/>
      <c r="C199" s="23"/>
      <c r="D199" s="1"/>
      <c r="E199" s="24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4.25" customHeight="1" x14ac:dyDescent="0.25">
      <c r="A200" s="22"/>
      <c r="B200" s="23"/>
      <c r="C200" s="23"/>
      <c r="D200" s="1"/>
      <c r="E200" s="24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4.25" customHeight="1" x14ac:dyDescent="0.25">
      <c r="A201" s="22"/>
      <c r="B201" s="23"/>
      <c r="C201" s="23"/>
      <c r="D201" s="1"/>
      <c r="E201" s="24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4.25" customHeight="1" x14ac:dyDescent="0.25">
      <c r="A202" s="22"/>
      <c r="B202" s="23"/>
      <c r="C202" s="23"/>
      <c r="D202" s="1"/>
      <c r="E202" s="24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4.25" customHeight="1" x14ac:dyDescent="0.25">
      <c r="A203" s="22"/>
      <c r="B203" s="23"/>
      <c r="C203" s="23"/>
      <c r="D203" s="1"/>
      <c r="E203" s="24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4.25" customHeight="1" x14ac:dyDescent="0.25">
      <c r="A204" s="22"/>
      <c r="B204" s="23"/>
      <c r="C204" s="23"/>
      <c r="D204" s="1"/>
      <c r="E204" s="24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4.25" customHeight="1" x14ac:dyDescent="0.25">
      <c r="A205" s="22"/>
      <c r="B205" s="23"/>
      <c r="C205" s="23"/>
      <c r="D205" s="1"/>
      <c r="E205" s="24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4.25" customHeight="1" x14ac:dyDescent="0.25">
      <c r="A206" s="22"/>
      <c r="B206" s="23"/>
      <c r="C206" s="23"/>
      <c r="D206" s="1"/>
      <c r="E206" s="24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4.25" customHeight="1" x14ac:dyDescent="0.25">
      <c r="A207" s="22"/>
      <c r="B207" s="23"/>
      <c r="C207" s="23"/>
      <c r="D207" s="1"/>
      <c r="E207" s="24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4.25" customHeight="1" x14ac:dyDescent="0.25">
      <c r="A208" s="22"/>
      <c r="B208" s="23"/>
      <c r="C208" s="23"/>
      <c r="D208" s="1"/>
      <c r="E208" s="24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4.25" customHeight="1" x14ac:dyDescent="0.25">
      <c r="A209" s="22"/>
      <c r="B209" s="23"/>
      <c r="C209" s="23"/>
      <c r="D209" s="1"/>
      <c r="E209" s="24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4.25" customHeight="1" x14ac:dyDescent="0.25">
      <c r="A210" s="22"/>
      <c r="B210" s="23"/>
      <c r="C210" s="23"/>
      <c r="D210" s="1"/>
      <c r="E210" s="24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4.25" customHeight="1" x14ac:dyDescent="0.25">
      <c r="A211" s="22"/>
      <c r="B211" s="23"/>
      <c r="C211" s="23"/>
      <c r="D211" s="1"/>
      <c r="E211" s="24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4.25" customHeight="1" x14ac:dyDescent="0.25">
      <c r="A212" s="22"/>
      <c r="B212" s="23"/>
      <c r="C212" s="23"/>
      <c r="D212" s="1"/>
      <c r="E212" s="24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4.25" customHeight="1" x14ac:dyDescent="0.25">
      <c r="A213" s="22"/>
      <c r="B213" s="23"/>
      <c r="C213" s="23"/>
      <c r="D213" s="1"/>
      <c r="E213" s="24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4.25" customHeight="1" x14ac:dyDescent="0.25">
      <c r="A214" s="22"/>
      <c r="B214" s="23"/>
      <c r="C214" s="23"/>
      <c r="D214" s="1"/>
      <c r="E214" s="24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4.25" customHeight="1" x14ac:dyDescent="0.25">
      <c r="A215" s="22"/>
      <c r="B215" s="23"/>
      <c r="C215" s="23"/>
      <c r="D215" s="1"/>
      <c r="E215" s="24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4.25" customHeight="1" x14ac:dyDescent="0.25">
      <c r="A216" s="22"/>
      <c r="B216" s="23"/>
      <c r="C216" s="23"/>
      <c r="D216" s="1"/>
      <c r="E216" s="24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4.25" customHeight="1" x14ac:dyDescent="0.25">
      <c r="A217" s="22"/>
      <c r="B217" s="23"/>
      <c r="C217" s="23"/>
      <c r="D217" s="1"/>
      <c r="E217" s="24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4.25" customHeight="1" x14ac:dyDescent="0.25">
      <c r="A218" s="22"/>
      <c r="B218" s="23"/>
      <c r="C218" s="23"/>
      <c r="D218" s="1"/>
      <c r="E218" s="24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4.25" customHeight="1" x14ac:dyDescent="0.25">
      <c r="A219" s="22"/>
      <c r="B219" s="23"/>
      <c r="C219" s="23"/>
      <c r="D219" s="1"/>
      <c r="E219" s="24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4.25" customHeight="1" x14ac:dyDescent="0.25">
      <c r="A220" s="22"/>
      <c r="B220" s="23"/>
      <c r="C220" s="23"/>
      <c r="D220" s="1"/>
      <c r="E220" s="24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4.25" customHeight="1" x14ac:dyDescent="0.25">
      <c r="A221" s="22"/>
      <c r="B221" s="23"/>
      <c r="C221" s="23"/>
      <c r="D221" s="1"/>
      <c r="E221" s="24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4.25" customHeight="1" x14ac:dyDescent="0.25">
      <c r="A222" s="22"/>
      <c r="B222" s="23"/>
      <c r="C222" s="23"/>
      <c r="D222" s="1"/>
      <c r="E222" s="24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4.25" customHeight="1" x14ac:dyDescent="0.25">
      <c r="A223" s="22"/>
      <c r="B223" s="23"/>
      <c r="C223" s="23"/>
      <c r="D223" s="1"/>
      <c r="E223" s="24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4.25" customHeight="1" x14ac:dyDescent="0.25">
      <c r="A224" s="22"/>
      <c r="B224" s="23"/>
      <c r="C224" s="23"/>
      <c r="D224" s="1"/>
      <c r="E224" s="24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4.25" customHeight="1" x14ac:dyDescent="0.25">
      <c r="A225" s="22"/>
      <c r="B225" s="23"/>
      <c r="C225" s="23"/>
      <c r="D225" s="1"/>
      <c r="E225" s="24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4.25" customHeight="1" x14ac:dyDescent="0.25">
      <c r="A226" s="22"/>
      <c r="B226" s="23"/>
      <c r="C226" s="23"/>
      <c r="D226" s="1"/>
      <c r="E226" s="24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4.25" customHeight="1" x14ac:dyDescent="0.25">
      <c r="A227" s="22"/>
      <c r="B227" s="23"/>
      <c r="C227" s="23"/>
      <c r="D227" s="1"/>
      <c r="E227" s="24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4.25" customHeight="1" x14ac:dyDescent="0.25">
      <c r="A228" s="22"/>
      <c r="B228" s="23"/>
      <c r="C228" s="23"/>
      <c r="D228" s="1"/>
      <c r="E228" s="24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4.25" customHeight="1" x14ac:dyDescent="0.25">
      <c r="A229" s="22"/>
      <c r="B229" s="23"/>
      <c r="C229" s="23"/>
      <c r="D229" s="1"/>
      <c r="E229" s="24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4.25" customHeight="1" x14ac:dyDescent="0.25">
      <c r="A230" s="22"/>
      <c r="B230" s="23"/>
      <c r="C230" s="23"/>
      <c r="D230" s="1"/>
      <c r="E230" s="24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4.25" customHeight="1" x14ac:dyDescent="0.25">
      <c r="A231" s="22"/>
      <c r="B231" s="23"/>
      <c r="C231" s="23"/>
      <c r="D231" s="1"/>
      <c r="E231" s="24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4.25" customHeight="1" x14ac:dyDescent="0.25">
      <c r="A232" s="22"/>
      <c r="B232" s="23"/>
      <c r="C232" s="23"/>
      <c r="D232" s="1"/>
      <c r="E232" s="24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4.25" customHeight="1" x14ac:dyDescent="0.25">
      <c r="A233" s="22"/>
      <c r="B233" s="23"/>
      <c r="C233" s="23"/>
      <c r="D233" s="1"/>
      <c r="E233" s="24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4.25" customHeight="1" x14ac:dyDescent="0.25">
      <c r="A234" s="22"/>
      <c r="B234" s="23"/>
      <c r="C234" s="23"/>
      <c r="D234" s="1"/>
      <c r="E234" s="24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4.25" customHeight="1" x14ac:dyDescent="0.25">
      <c r="A235" s="22"/>
      <c r="B235" s="23"/>
      <c r="C235" s="23"/>
      <c r="D235" s="1"/>
      <c r="E235" s="24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4.25" customHeight="1" x14ac:dyDescent="0.25">
      <c r="A236" s="22"/>
      <c r="B236" s="23"/>
      <c r="C236" s="1"/>
      <c r="D236" s="1"/>
      <c r="E236" s="24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4.25" customHeight="1" x14ac:dyDescent="0.25">
      <c r="A237" s="22"/>
      <c r="B237" s="23"/>
      <c r="C237" s="1"/>
      <c r="D237" s="1"/>
      <c r="E237" s="24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4.25" customHeight="1" x14ac:dyDescent="0.25">
      <c r="A238" s="22"/>
      <c r="B238" s="23"/>
      <c r="C238" s="1"/>
      <c r="D238" s="1"/>
      <c r="E238" s="24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4.25" customHeight="1" x14ac:dyDescent="0.25">
      <c r="A239" s="22"/>
      <c r="B239" s="23"/>
      <c r="C239" s="1"/>
      <c r="D239" s="1"/>
      <c r="E239" s="24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4.25" customHeight="1" x14ac:dyDescent="0.25">
      <c r="A240" s="22"/>
      <c r="B240" s="23"/>
      <c r="C240" s="1"/>
      <c r="D240" s="1"/>
      <c r="E240" s="24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4.25" customHeight="1" x14ac:dyDescent="0.25">
      <c r="A241" s="22"/>
      <c r="B241" s="23"/>
      <c r="C241" s="1"/>
      <c r="D241" s="1"/>
      <c r="E241" s="24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4.25" customHeight="1" x14ac:dyDescent="0.25">
      <c r="A242" s="22"/>
      <c r="B242" s="23"/>
      <c r="C242" s="1"/>
      <c r="D242" s="1"/>
      <c r="E242" s="24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4.25" customHeight="1" x14ac:dyDescent="0.25">
      <c r="A243" s="22"/>
      <c r="B243" s="23"/>
      <c r="C243" s="1"/>
      <c r="D243" s="1"/>
      <c r="E243" s="24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4.25" customHeight="1" x14ac:dyDescent="0.25">
      <c r="A244" s="22"/>
      <c r="B244" s="23"/>
      <c r="C244" s="1"/>
      <c r="D244" s="1"/>
      <c r="E244" s="24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4.25" customHeight="1" x14ac:dyDescent="0.25">
      <c r="A245" s="22"/>
      <c r="B245" s="23"/>
      <c r="C245" s="1"/>
      <c r="D245" s="1"/>
      <c r="E245" s="24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4.25" customHeight="1" x14ac:dyDescent="0.25">
      <c r="A246" s="22"/>
      <c r="B246" s="23"/>
      <c r="C246" s="1"/>
      <c r="D246" s="1"/>
      <c r="E246" s="24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4.25" customHeight="1" x14ac:dyDescent="0.25">
      <c r="A247" s="22"/>
      <c r="B247" s="23"/>
      <c r="C247" s="1"/>
      <c r="D247" s="1"/>
      <c r="E247" s="24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4.25" customHeight="1" x14ac:dyDescent="0.25">
      <c r="A248" s="22"/>
      <c r="B248" s="23"/>
      <c r="C248" s="1"/>
      <c r="D248" s="1"/>
      <c r="E248" s="24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4.25" customHeight="1" x14ac:dyDescent="0.25">
      <c r="A249" s="22"/>
      <c r="B249" s="23"/>
      <c r="C249" s="1"/>
      <c r="D249" s="1"/>
      <c r="E249" s="24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4.25" customHeight="1" x14ac:dyDescent="0.25">
      <c r="A250" s="22"/>
      <c r="B250" s="23"/>
      <c r="C250" s="1"/>
      <c r="D250" s="1"/>
      <c r="E250" s="24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4.25" customHeight="1" x14ac:dyDescent="0.25">
      <c r="A251" s="22"/>
      <c r="B251" s="23"/>
      <c r="C251" s="1"/>
      <c r="D251" s="1"/>
      <c r="E251" s="24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4.25" customHeight="1" x14ac:dyDescent="0.25">
      <c r="A252" s="22"/>
      <c r="B252" s="23"/>
      <c r="C252" s="1"/>
      <c r="D252" s="1"/>
      <c r="E252" s="24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4.25" customHeight="1" x14ac:dyDescent="0.25">
      <c r="A253" s="22"/>
      <c r="B253" s="23"/>
      <c r="C253" s="1"/>
      <c r="D253" s="1"/>
      <c r="E253" s="24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4.25" customHeight="1" x14ac:dyDescent="0.25">
      <c r="A254" s="22"/>
      <c r="B254" s="23"/>
      <c r="C254" s="1"/>
      <c r="D254" s="1"/>
      <c r="E254" s="24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4.25" customHeight="1" x14ac:dyDescent="0.25">
      <c r="A255" s="22"/>
      <c r="B255" s="23"/>
      <c r="C255" s="1"/>
      <c r="D255" s="1"/>
      <c r="E255" s="24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4.25" customHeight="1" x14ac:dyDescent="0.25">
      <c r="A256" s="22"/>
      <c r="B256" s="23"/>
      <c r="C256" s="1"/>
      <c r="D256" s="1"/>
      <c r="E256" s="24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4.25" customHeight="1" x14ac:dyDescent="0.25">
      <c r="A257" s="22"/>
      <c r="B257" s="23"/>
      <c r="C257" s="1"/>
      <c r="D257" s="1"/>
      <c r="E257" s="24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4.25" customHeight="1" x14ac:dyDescent="0.25">
      <c r="A258" s="22"/>
      <c r="B258" s="23"/>
      <c r="C258" s="1"/>
      <c r="D258" s="1"/>
      <c r="E258" s="24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4.25" customHeight="1" x14ac:dyDescent="0.25">
      <c r="A259" s="22"/>
      <c r="B259" s="23"/>
      <c r="C259" s="1"/>
      <c r="D259" s="1"/>
      <c r="E259" s="24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4.25" customHeight="1" x14ac:dyDescent="0.25">
      <c r="A260" s="22"/>
      <c r="B260" s="23"/>
      <c r="C260" s="1"/>
      <c r="D260" s="1"/>
      <c r="E260" s="24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4.25" customHeight="1" x14ac:dyDescent="0.25">
      <c r="A261" s="22"/>
      <c r="B261" s="23"/>
      <c r="C261" s="1"/>
      <c r="D261" s="1"/>
      <c r="E261" s="24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4.25" customHeight="1" x14ac:dyDescent="0.25">
      <c r="A262" s="22"/>
      <c r="B262" s="23"/>
      <c r="C262" s="1"/>
      <c r="D262" s="1"/>
      <c r="E262" s="24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4.25" customHeight="1" x14ac:dyDescent="0.25">
      <c r="A263" s="22"/>
      <c r="B263" s="23"/>
      <c r="C263" s="1"/>
      <c r="D263" s="1"/>
      <c r="E263" s="24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4.25" customHeight="1" x14ac:dyDescent="0.25">
      <c r="A264" s="22"/>
      <c r="B264" s="23"/>
      <c r="C264" s="1"/>
      <c r="D264" s="1"/>
      <c r="E264" s="24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4.25" customHeight="1" x14ac:dyDescent="0.25">
      <c r="A265" s="22"/>
      <c r="B265" s="23"/>
      <c r="C265" s="1"/>
      <c r="D265" s="1"/>
      <c r="E265" s="24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4.25" customHeight="1" x14ac:dyDescent="0.25">
      <c r="A266" s="22"/>
      <c r="B266" s="23"/>
      <c r="C266" s="1"/>
      <c r="D266" s="1"/>
      <c r="E266" s="24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4.25" customHeight="1" x14ac:dyDescent="0.25">
      <c r="A267" s="22"/>
      <c r="B267" s="23"/>
      <c r="C267" s="1"/>
      <c r="D267" s="1"/>
      <c r="E267" s="24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4.25" customHeight="1" x14ac:dyDescent="0.25">
      <c r="A268" s="22"/>
      <c r="B268" s="23"/>
      <c r="C268" s="1"/>
      <c r="D268" s="1"/>
      <c r="E268" s="24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4.25" customHeight="1" x14ac:dyDescent="0.25">
      <c r="A269" s="22"/>
      <c r="B269" s="23"/>
      <c r="C269" s="1"/>
      <c r="D269" s="1"/>
      <c r="E269" s="24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4.25" customHeight="1" x14ac:dyDescent="0.25">
      <c r="A270" s="22"/>
      <c r="B270" s="23"/>
      <c r="C270" s="1"/>
      <c r="D270" s="1"/>
      <c r="E270" s="24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4.25" customHeight="1" x14ac:dyDescent="0.25">
      <c r="A271" s="22"/>
      <c r="B271" s="23"/>
      <c r="C271" s="1"/>
      <c r="D271" s="1"/>
      <c r="E271" s="24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4.25" customHeight="1" x14ac:dyDescent="0.25">
      <c r="A272" s="22"/>
      <c r="B272" s="23"/>
      <c r="C272" s="1"/>
      <c r="D272" s="1"/>
      <c r="E272" s="24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4.25" customHeight="1" x14ac:dyDescent="0.25">
      <c r="A273" s="22"/>
      <c r="B273" s="23"/>
      <c r="C273" s="1"/>
      <c r="D273" s="1"/>
      <c r="E273" s="24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4.25" customHeight="1" x14ac:dyDescent="0.25">
      <c r="A274" s="22"/>
      <c r="B274" s="23"/>
      <c r="C274" s="1"/>
      <c r="D274" s="1"/>
      <c r="E274" s="24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4.25" customHeight="1" x14ac:dyDescent="0.25">
      <c r="A275" s="22"/>
      <c r="B275" s="23"/>
      <c r="C275" s="1"/>
      <c r="D275" s="1"/>
      <c r="E275" s="24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4.25" customHeight="1" x14ac:dyDescent="0.25">
      <c r="A276" s="22"/>
      <c r="B276" s="23"/>
      <c r="C276" s="1"/>
      <c r="D276" s="1"/>
      <c r="E276" s="24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4.25" customHeight="1" x14ac:dyDescent="0.25">
      <c r="A277" s="22"/>
      <c r="B277" s="23"/>
      <c r="C277" s="1"/>
      <c r="D277" s="1"/>
      <c r="E277" s="24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4.25" customHeight="1" x14ac:dyDescent="0.25">
      <c r="A278" s="22"/>
      <c r="B278" s="23"/>
      <c r="C278" s="1"/>
      <c r="D278" s="1"/>
      <c r="E278" s="24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4.25" customHeight="1" x14ac:dyDescent="0.25">
      <c r="A279" s="22"/>
      <c r="B279" s="23"/>
      <c r="C279" s="1"/>
      <c r="D279" s="1"/>
      <c r="E279" s="24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4.25" customHeight="1" x14ac:dyDescent="0.25">
      <c r="A280" s="22"/>
      <c r="B280" s="23"/>
      <c r="C280" s="1"/>
      <c r="D280" s="1"/>
      <c r="E280" s="24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4.25" customHeight="1" x14ac:dyDescent="0.25">
      <c r="A281" s="22"/>
      <c r="B281" s="23"/>
      <c r="C281" s="1"/>
      <c r="D281" s="1"/>
      <c r="E281" s="24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4.25" customHeight="1" x14ac:dyDescent="0.25">
      <c r="A282" s="22"/>
      <c r="B282" s="23"/>
      <c r="C282" s="1"/>
      <c r="D282" s="1"/>
      <c r="E282" s="24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4.25" customHeight="1" x14ac:dyDescent="0.25">
      <c r="A283" s="22"/>
      <c r="B283" s="23"/>
      <c r="C283" s="1"/>
      <c r="D283" s="1"/>
      <c r="E283" s="24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4.25" customHeight="1" x14ac:dyDescent="0.25">
      <c r="A284" s="22"/>
      <c r="B284" s="23"/>
      <c r="C284" s="1"/>
      <c r="D284" s="1"/>
      <c r="E284" s="24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4.25" customHeight="1" x14ac:dyDescent="0.25">
      <c r="A285" s="22"/>
      <c r="B285" s="23"/>
      <c r="C285" s="1"/>
      <c r="D285" s="1"/>
      <c r="E285" s="24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4.25" customHeight="1" x14ac:dyDescent="0.25">
      <c r="A286" s="22"/>
      <c r="B286" s="23"/>
      <c r="C286" s="1"/>
      <c r="D286" s="1"/>
      <c r="E286" s="24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4.25" customHeight="1" x14ac:dyDescent="0.25">
      <c r="A287" s="22"/>
      <c r="B287" s="23"/>
      <c r="C287" s="1"/>
      <c r="D287" s="1"/>
      <c r="E287" s="24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4.25" customHeight="1" x14ac:dyDescent="0.25">
      <c r="A288" s="22"/>
      <c r="B288" s="23"/>
      <c r="C288" s="1"/>
      <c r="D288" s="1"/>
      <c r="E288" s="24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4.25" customHeight="1" x14ac:dyDescent="0.25">
      <c r="A289" s="22"/>
      <c r="B289" s="23"/>
      <c r="C289" s="1"/>
      <c r="D289" s="1"/>
      <c r="E289" s="24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4.25" customHeight="1" x14ac:dyDescent="0.25">
      <c r="A290" s="22"/>
      <c r="B290" s="23"/>
      <c r="C290" s="1"/>
      <c r="D290" s="1"/>
      <c r="E290" s="24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4.25" customHeight="1" x14ac:dyDescent="0.25">
      <c r="A291" s="22"/>
      <c r="B291" s="23"/>
      <c r="C291" s="1"/>
      <c r="D291" s="1"/>
      <c r="E291" s="24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4.25" customHeight="1" x14ac:dyDescent="0.25">
      <c r="A292" s="22"/>
      <c r="B292" s="23"/>
      <c r="C292" s="1"/>
      <c r="D292" s="1"/>
      <c r="E292" s="24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4.25" customHeight="1" x14ac:dyDescent="0.25">
      <c r="A293" s="22"/>
      <c r="B293" s="23"/>
      <c r="C293" s="1"/>
      <c r="D293" s="1"/>
      <c r="E293" s="24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4.25" customHeight="1" x14ac:dyDescent="0.25">
      <c r="A294" s="22"/>
      <c r="B294" s="23"/>
      <c r="C294" s="1"/>
      <c r="D294" s="1"/>
      <c r="E294" s="24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4.25" customHeight="1" x14ac:dyDescent="0.25">
      <c r="A295" s="22"/>
      <c r="B295" s="23"/>
      <c r="C295" s="1"/>
      <c r="D295" s="1"/>
      <c r="E295" s="24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4.25" customHeight="1" x14ac:dyDescent="0.25">
      <c r="A296" s="22"/>
      <c r="B296" s="23"/>
      <c r="C296" s="1"/>
      <c r="D296" s="1"/>
      <c r="E296" s="24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4.25" customHeight="1" x14ac:dyDescent="0.25">
      <c r="A297" s="22"/>
      <c r="B297" s="23"/>
      <c r="C297" s="1"/>
      <c r="D297" s="1"/>
      <c r="E297" s="24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4.25" customHeight="1" x14ac:dyDescent="0.25">
      <c r="A298" s="22"/>
      <c r="B298" s="23"/>
      <c r="C298" s="1"/>
      <c r="D298" s="1"/>
      <c r="E298" s="24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4.25" customHeight="1" x14ac:dyDescent="0.25">
      <c r="A299" s="22"/>
      <c r="B299" s="23"/>
      <c r="C299" s="1"/>
      <c r="D299" s="1"/>
      <c r="E299" s="24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4.25" customHeight="1" x14ac:dyDescent="0.25">
      <c r="A300" s="22"/>
      <c r="B300" s="23"/>
      <c r="C300" s="1"/>
      <c r="D300" s="1"/>
      <c r="E300" s="24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4.25" customHeight="1" x14ac:dyDescent="0.25">
      <c r="A301" s="22"/>
      <c r="B301" s="23"/>
      <c r="C301" s="1"/>
      <c r="D301" s="1"/>
      <c r="E301" s="24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4.25" customHeight="1" x14ac:dyDescent="0.25">
      <c r="A302" s="22"/>
      <c r="B302" s="23"/>
      <c r="C302" s="1"/>
      <c r="D302" s="1"/>
      <c r="E302" s="24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4.25" customHeight="1" x14ac:dyDescent="0.25">
      <c r="A303" s="22"/>
      <c r="B303" s="23"/>
      <c r="C303" s="1"/>
      <c r="D303" s="1"/>
      <c r="E303" s="24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4.25" customHeight="1" x14ac:dyDescent="0.25">
      <c r="A304" s="22"/>
      <c r="B304" s="23"/>
      <c r="C304" s="1"/>
      <c r="D304" s="1"/>
      <c r="E304" s="24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4.25" customHeight="1" x14ac:dyDescent="0.25">
      <c r="A305" s="22"/>
      <c r="B305" s="23"/>
      <c r="C305" s="1"/>
      <c r="D305" s="1"/>
      <c r="E305" s="24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4.25" customHeight="1" x14ac:dyDescent="0.25">
      <c r="A306" s="22"/>
      <c r="B306" s="23"/>
      <c r="C306" s="1"/>
      <c r="D306" s="1"/>
      <c r="E306" s="24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4.25" customHeight="1" x14ac:dyDescent="0.25">
      <c r="A307" s="22"/>
      <c r="B307" s="23"/>
      <c r="C307" s="1"/>
      <c r="D307" s="1"/>
      <c r="E307" s="24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4.25" customHeight="1" x14ac:dyDescent="0.25">
      <c r="A308" s="22"/>
      <c r="B308" s="23"/>
      <c r="C308" s="1"/>
      <c r="D308" s="1"/>
      <c r="E308" s="24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4.25" customHeight="1" x14ac:dyDescent="0.25">
      <c r="A309" s="22"/>
      <c r="B309" s="23"/>
      <c r="C309" s="1"/>
      <c r="D309" s="1"/>
      <c r="E309" s="24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4.25" customHeight="1" x14ac:dyDescent="0.25">
      <c r="A310" s="22"/>
      <c r="B310" s="23"/>
      <c r="C310" s="1"/>
      <c r="D310" s="1"/>
      <c r="E310" s="24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4.25" customHeight="1" x14ac:dyDescent="0.25">
      <c r="A311" s="22"/>
      <c r="B311" s="23"/>
      <c r="C311" s="1"/>
      <c r="D311" s="1"/>
      <c r="E311" s="24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4.25" customHeight="1" x14ac:dyDescent="0.25">
      <c r="A312" s="22"/>
      <c r="B312" s="23"/>
      <c r="C312" s="1"/>
      <c r="D312" s="1"/>
      <c r="E312" s="24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4.25" customHeight="1" x14ac:dyDescent="0.25">
      <c r="A313" s="22"/>
      <c r="B313" s="23"/>
      <c r="C313" s="1"/>
      <c r="D313" s="1"/>
      <c r="E313" s="24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4.25" customHeight="1" x14ac:dyDescent="0.25">
      <c r="A314" s="22"/>
      <c r="B314" s="23"/>
      <c r="C314" s="1"/>
      <c r="D314" s="1"/>
      <c r="E314" s="24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4.25" customHeight="1" x14ac:dyDescent="0.25">
      <c r="A315" s="22"/>
      <c r="B315" s="23"/>
      <c r="C315" s="1"/>
      <c r="D315" s="1"/>
      <c r="E315" s="24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4.25" customHeight="1" x14ac:dyDescent="0.25">
      <c r="A316" s="22"/>
      <c r="B316" s="23"/>
      <c r="C316" s="1"/>
      <c r="D316" s="1"/>
      <c r="E316" s="24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4.25" customHeight="1" x14ac:dyDescent="0.25">
      <c r="A317" s="22"/>
      <c r="B317" s="23"/>
      <c r="C317" s="1"/>
      <c r="D317" s="1"/>
      <c r="E317" s="24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4.25" customHeight="1" x14ac:dyDescent="0.25">
      <c r="A318" s="22"/>
      <c r="B318" s="23"/>
      <c r="C318" s="1"/>
      <c r="D318" s="1"/>
      <c r="E318" s="24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4.25" customHeight="1" x14ac:dyDescent="0.25">
      <c r="A319" s="22"/>
      <c r="B319" s="23"/>
      <c r="C319" s="1"/>
      <c r="D319" s="1"/>
      <c r="E319" s="24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4.25" customHeight="1" x14ac:dyDescent="0.25">
      <c r="A320" s="22"/>
      <c r="B320" s="23"/>
      <c r="C320" s="1"/>
      <c r="D320" s="1"/>
      <c r="E320" s="24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4.25" customHeight="1" x14ac:dyDescent="0.25">
      <c r="A321" s="22"/>
      <c r="B321" s="23"/>
      <c r="C321" s="1"/>
      <c r="D321" s="1"/>
      <c r="E321" s="24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4.25" customHeight="1" x14ac:dyDescent="0.25">
      <c r="A322" s="22"/>
      <c r="B322" s="23"/>
      <c r="C322" s="1"/>
      <c r="D322" s="1"/>
      <c r="E322" s="24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4.25" customHeight="1" x14ac:dyDescent="0.25">
      <c r="A323" s="22"/>
      <c r="B323" s="23"/>
      <c r="C323" s="1"/>
      <c r="D323" s="1"/>
      <c r="E323" s="24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4.25" customHeight="1" x14ac:dyDescent="0.25">
      <c r="A324" s="22"/>
      <c r="B324" s="23"/>
      <c r="C324" s="1"/>
      <c r="D324" s="1"/>
      <c r="E324" s="24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4.25" customHeight="1" x14ac:dyDescent="0.25">
      <c r="A325" s="22"/>
      <c r="B325" s="23"/>
      <c r="C325" s="1"/>
      <c r="D325" s="1"/>
      <c r="E325" s="24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4.25" customHeight="1" x14ac:dyDescent="0.25">
      <c r="A326" s="22"/>
      <c r="B326" s="23"/>
      <c r="C326" s="1"/>
      <c r="D326" s="1"/>
      <c r="E326" s="24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4.25" customHeight="1" x14ac:dyDescent="0.25">
      <c r="A327" s="22"/>
      <c r="B327" s="23"/>
      <c r="C327" s="1"/>
      <c r="D327" s="1"/>
      <c r="E327" s="24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4.25" customHeight="1" x14ac:dyDescent="0.25">
      <c r="A328" s="22"/>
      <c r="B328" s="23"/>
      <c r="C328" s="1"/>
      <c r="D328" s="1"/>
      <c r="E328" s="24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4.25" customHeight="1" x14ac:dyDescent="0.25">
      <c r="A329" s="22"/>
      <c r="B329" s="23"/>
      <c r="C329" s="1"/>
      <c r="D329" s="1"/>
      <c r="E329" s="24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4.25" customHeight="1" x14ac:dyDescent="0.25">
      <c r="A330" s="22"/>
      <c r="B330" s="23"/>
      <c r="C330" s="1"/>
      <c r="D330" s="1"/>
      <c r="E330" s="24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4.25" customHeight="1" x14ac:dyDescent="0.25">
      <c r="A331" s="22"/>
      <c r="B331" s="23"/>
      <c r="C331" s="1"/>
      <c r="D331" s="1"/>
      <c r="E331" s="24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4.25" customHeight="1" x14ac:dyDescent="0.25">
      <c r="A332" s="22"/>
      <c r="B332" s="23"/>
      <c r="C332" s="1"/>
      <c r="D332" s="1"/>
      <c r="E332" s="24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4.25" customHeight="1" x14ac:dyDescent="0.25">
      <c r="A333" s="22"/>
      <c r="B333" s="23"/>
      <c r="C333" s="1"/>
      <c r="D333" s="1"/>
      <c r="E333" s="24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4.25" customHeight="1" x14ac:dyDescent="0.25">
      <c r="A334" s="22"/>
      <c r="B334" s="23"/>
      <c r="C334" s="1"/>
      <c r="D334" s="1"/>
      <c r="E334" s="24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4.25" customHeight="1" x14ac:dyDescent="0.25">
      <c r="A335" s="22"/>
      <c r="B335" s="23"/>
      <c r="C335" s="1"/>
      <c r="D335" s="1"/>
      <c r="E335" s="24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4.25" customHeight="1" x14ac:dyDescent="0.25">
      <c r="A336" s="22"/>
      <c r="B336" s="23"/>
      <c r="C336" s="1"/>
      <c r="D336" s="1"/>
      <c r="E336" s="24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4.25" customHeight="1" x14ac:dyDescent="0.25">
      <c r="A337" s="22"/>
      <c r="B337" s="23"/>
      <c r="C337" s="1"/>
      <c r="D337" s="1"/>
      <c r="E337" s="24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4.25" customHeight="1" x14ac:dyDescent="0.25">
      <c r="A338" s="22"/>
      <c r="B338" s="23"/>
      <c r="C338" s="1"/>
      <c r="D338" s="1"/>
      <c r="E338" s="24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4.25" customHeight="1" x14ac:dyDescent="0.25">
      <c r="A339" s="22"/>
      <c r="B339" s="23"/>
      <c r="C339" s="1"/>
      <c r="D339" s="1"/>
      <c r="E339" s="24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4.25" customHeight="1" x14ac:dyDescent="0.25">
      <c r="A340" s="22"/>
      <c r="B340" s="23"/>
      <c r="C340" s="1"/>
      <c r="D340" s="1"/>
      <c r="E340" s="24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4.25" customHeight="1" x14ac:dyDescent="0.25">
      <c r="A341" s="22"/>
      <c r="B341" s="23"/>
      <c r="C341" s="1"/>
      <c r="D341" s="1"/>
      <c r="E341" s="24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4.25" customHeight="1" x14ac:dyDescent="0.25">
      <c r="A342" s="22"/>
      <c r="B342" s="23"/>
      <c r="C342" s="1"/>
      <c r="D342" s="1"/>
      <c r="E342" s="24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4.25" customHeight="1" x14ac:dyDescent="0.25">
      <c r="A343" s="22"/>
      <c r="B343" s="23"/>
      <c r="C343" s="1"/>
      <c r="D343" s="1"/>
      <c r="E343" s="24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4.25" customHeight="1" x14ac:dyDescent="0.25">
      <c r="A344" s="22"/>
      <c r="B344" s="23"/>
      <c r="C344" s="1"/>
      <c r="D344" s="1"/>
      <c r="E344" s="24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4.25" customHeight="1" x14ac:dyDescent="0.25">
      <c r="A345" s="22"/>
      <c r="B345" s="23"/>
      <c r="C345" s="1"/>
      <c r="D345" s="1"/>
      <c r="E345" s="24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4.25" customHeight="1" x14ac:dyDescent="0.25">
      <c r="A346" s="22"/>
      <c r="B346" s="23"/>
      <c r="C346" s="1"/>
      <c r="D346" s="1"/>
      <c r="E346" s="24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4.25" customHeight="1" x14ac:dyDescent="0.25">
      <c r="A347" s="22"/>
      <c r="B347" s="23"/>
      <c r="C347" s="1"/>
      <c r="D347" s="1"/>
      <c r="E347" s="24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4.25" customHeight="1" x14ac:dyDescent="0.25">
      <c r="A348" s="22"/>
      <c r="B348" s="23"/>
      <c r="C348" s="1"/>
      <c r="D348" s="1"/>
      <c r="E348" s="24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4.25" customHeight="1" x14ac:dyDescent="0.25">
      <c r="A349" s="22"/>
      <c r="B349" s="23"/>
      <c r="C349" s="1"/>
      <c r="D349" s="1"/>
      <c r="E349" s="24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4.25" customHeight="1" x14ac:dyDescent="0.25">
      <c r="A350" s="22"/>
      <c r="B350" s="23"/>
      <c r="C350" s="1"/>
      <c r="D350" s="1"/>
      <c r="E350" s="24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4.25" customHeight="1" x14ac:dyDescent="0.25">
      <c r="A351" s="22"/>
      <c r="B351" s="23"/>
      <c r="C351" s="1"/>
      <c r="D351" s="1"/>
      <c r="E351" s="24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4.25" customHeight="1" x14ac:dyDescent="0.25">
      <c r="A352" s="22"/>
      <c r="B352" s="23"/>
      <c r="C352" s="1"/>
      <c r="D352" s="1"/>
      <c r="E352" s="24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4.25" customHeight="1" x14ac:dyDescent="0.25">
      <c r="A353" s="22"/>
      <c r="B353" s="23"/>
      <c r="C353" s="1"/>
      <c r="D353" s="1"/>
      <c r="E353" s="24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4.25" customHeight="1" x14ac:dyDescent="0.25">
      <c r="A354" s="22"/>
      <c r="B354" s="23"/>
      <c r="C354" s="1"/>
      <c r="D354" s="1"/>
      <c r="E354" s="24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4.25" customHeight="1" x14ac:dyDescent="0.25">
      <c r="A355" s="22"/>
      <c r="B355" s="23"/>
      <c r="C355" s="1"/>
      <c r="D355" s="1"/>
      <c r="E355" s="24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4.25" customHeight="1" x14ac:dyDescent="0.25">
      <c r="A356" s="22"/>
      <c r="B356" s="23"/>
      <c r="C356" s="1"/>
      <c r="D356" s="1"/>
      <c r="E356" s="24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4.25" customHeight="1" x14ac:dyDescent="0.25">
      <c r="A357" s="22"/>
      <c r="B357" s="23"/>
      <c r="C357" s="1"/>
      <c r="D357" s="1"/>
      <c r="E357" s="24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4.25" customHeight="1" x14ac:dyDescent="0.25">
      <c r="A358" s="22"/>
      <c r="B358" s="23"/>
      <c r="C358" s="1"/>
      <c r="D358" s="1"/>
      <c r="E358" s="24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4.25" customHeight="1" x14ac:dyDescent="0.25">
      <c r="A359" s="22"/>
      <c r="B359" s="23"/>
      <c r="C359" s="1"/>
      <c r="D359" s="1"/>
      <c r="E359" s="24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4.25" customHeight="1" x14ac:dyDescent="0.25">
      <c r="A360" s="22"/>
      <c r="B360" s="23"/>
      <c r="C360" s="1"/>
      <c r="D360" s="1"/>
      <c r="E360" s="24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4.25" customHeight="1" x14ac:dyDescent="0.25">
      <c r="A361" s="22"/>
      <c r="B361" s="23"/>
      <c r="C361" s="1"/>
      <c r="D361" s="1"/>
      <c r="E361" s="24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4.25" customHeight="1" x14ac:dyDescent="0.25">
      <c r="A362" s="22"/>
      <c r="B362" s="23"/>
      <c r="C362" s="1"/>
      <c r="D362" s="1"/>
      <c r="E362" s="24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4.25" customHeight="1" x14ac:dyDescent="0.25">
      <c r="A363" s="22"/>
      <c r="B363" s="23"/>
      <c r="C363" s="1"/>
      <c r="D363" s="1"/>
      <c r="E363" s="24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4.25" customHeight="1" x14ac:dyDescent="0.25">
      <c r="A364" s="22"/>
      <c r="B364" s="23"/>
      <c r="C364" s="1"/>
      <c r="D364" s="1"/>
      <c r="E364" s="24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4.25" customHeight="1" x14ac:dyDescent="0.25">
      <c r="A365" s="22"/>
      <c r="B365" s="23"/>
      <c r="C365" s="1"/>
      <c r="D365" s="1"/>
      <c r="E365" s="24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4.25" customHeight="1" x14ac:dyDescent="0.25">
      <c r="A366" s="22"/>
      <c r="B366" s="23"/>
      <c r="C366" s="1"/>
      <c r="D366" s="1"/>
      <c r="E366" s="24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4.25" customHeight="1" x14ac:dyDescent="0.25">
      <c r="A367" s="22"/>
      <c r="B367" s="23"/>
      <c r="C367" s="1"/>
      <c r="D367" s="1"/>
      <c r="E367" s="24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4.25" customHeight="1" x14ac:dyDescent="0.25">
      <c r="A368" s="22"/>
      <c r="B368" s="23"/>
      <c r="C368" s="1"/>
      <c r="D368" s="1"/>
      <c r="E368" s="24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4.25" customHeight="1" x14ac:dyDescent="0.25">
      <c r="A369" s="22"/>
      <c r="B369" s="23"/>
      <c r="C369" s="1"/>
      <c r="D369" s="1"/>
      <c r="E369" s="24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4.25" customHeight="1" x14ac:dyDescent="0.25">
      <c r="A370" s="22"/>
      <c r="B370" s="23"/>
      <c r="C370" s="1"/>
      <c r="D370" s="1"/>
      <c r="E370" s="24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4.25" customHeight="1" x14ac:dyDescent="0.25">
      <c r="A371" s="22"/>
      <c r="B371" s="23"/>
      <c r="C371" s="1"/>
      <c r="D371" s="1"/>
      <c r="E371" s="24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4.25" customHeight="1" x14ac:dyDescent="0.25"/>
    <row r="373" spans="1:24" ht="14.25" customHeight="1" x14ac:dyDescent="0.25"/>
    <row r="374" spans="1:24" ht="14.25" customHeight="1" x14ac:dyDescent="0.25"/>
    <row r="375" spans="1:24" ht="14.25" customHeight="1" x14ac:dyDescent="0.25"/>
    <row r="376" spans="1:24" ht="14.25" customHeight="1" x14ac:dyDescent="0.25"/>
    <row r="377" spans="1:24" ht="14.25" customHeight="1" x14ac:dyDescent="0.25"/>
    <row r="378" spans="1:24" ht="14.25" customHeight="1" x14ac:dyDescent="0.25"/>
    <row r="379" spans="1:24" ht="14.25" customHeight="1" x14ac:dyDescent="0.25"/>
    <row r="380" spans="1:24" ht="14.25" customHeight="1" x14ac:dyDescent="0.25"/>
    <row r="381" spans="1:24" ht="14.25" customHeight="1" x14ac:dyDescent="0.25"/>
    <row r="382" spans="1:24" ht="14.25" customHeight="1" x14ac:dyDescent="0.25"/>
    <row r="383" spans="1:24" ht="14.25" customHeight="1" x14ac:dyDescent="0.25"/>
    <row r="384" spans="1:2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2">
    <mergeCell ref="A97:D97"/>
    <mergeCell ref="A99:E99"/>
    <mergeCell ref="A1:E6"/>
    <mergeCell ref="A7:E7"/>
    <mergeCell ref="A10:E10"/>
    <mergeCell ref="A16:D16"/>
    <mergeCell ref="A18:E18"/>
    <mergeCell ref="A103:D103"/>
    <mergeCell ref="A105:E105"/>
    <mergeCell ref="A117:D117"/>
    <mergeCell ref="A119:E119"/>
    <mergeCell ref="A170:D170"/>
  </mergeCells>
  <pageMargins left="0.7" right="0.7" top="0.75" bottom="0.7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2023-05-02T11:51:23Z</dcterms:modified>
</cp:coreProperties>
</file>